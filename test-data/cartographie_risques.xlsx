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vegnicyril/Desktop/"/>
    </mc:Choice>
  </mc:AlternateContent>
  <xr:revisionPtr revIDLastSave="0" documentId="13_ncr:1_{5E8995F5-F9C1-A841-BA8E-84A1C84F0982}" xr6:coauthVersionLast="47" xr6:coauthVersionMax="47" xr10:uidLastSave="{00000000-0000-0000-0000-000000000000}"/>
  <bookViews>
    <workbookView xWindow="540" yWindow="660" windowWidth="29120" windowHeight="17840" activeTab="5" xr2:uid="{00000000-000D-0000-FFFF-FFFF00000000}"/>
  </bookViews>
  <sheets>
    <sheet name="README" sheetId="1" r:id="rId1"/>
    <sheet name="Methodologie" sheetId="2" r:id="rId2"/>
    <sheet name="Dictionnaire" sheetId="3" r:id="rId3"/>
    <sheet name="Sources" sheetId="4" r:id="rId4"/>
    <sheet name="Registre_Risques" sheetId="5" r:id="rId5"/>
    <sheet name="Synthese" sheetId="6" r:id="rId6"/>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6" l="1"/>
  <c r="B36" i="6"/>
  <c r="D35" i="6"/>
  <c r="B35" i="6"/>
  <c r="D34" i="6"/>
  <c r="B34" i="6"/>
  <c r="D33" i="6"/>
  <c r="B33" i="6"/>
  <c r="D32" i="6"/>
  <c r="B32" i="6"/>
  <c r="D31" i="6"/>
  <c r="B31" i="6"/>
  <c r="D30" i="6"/>
  <c r="B30" i="6"/>
  <c r="D29" i="6"/>
  <c r="B29" i="6"/>
  <c r="D28" i="6"/>
  <c r="B28" i="6"/>
  <c r="D27" i="6"/>
  <c r="B27" i="6"/>
  <c r="B22" i="6"/>
  <c r="B21" i="6"/>
  <c r="B20" i="6"/>
  <c r="B19" i="6"/>
  <c r="B18" i="6"/>
  <c r="B13" i="6"/>
  <c r="B12" i="6"/>
  <c r="B6" i="6"/>
  <c r="AD121" i="5"/>
  <c r="AE121" i="5" s="1"/>
  <c r="V121" i="5"/>
  <c r="W121" i="5" s="1"/>
  <c r="AD120" i="5"/>
  <c r="AG120" i="5" s="1"/>
  <c r="V120" i="5"/>
  <c r="W120" i="5" s="1"/>
  <c r="AD119" i="5"/>
  <c r="AG119" i="5" s="1"/>
  <c r="V119" i="5"/>
  <c r="W119" i="5" s="1"/>
  <c r="AD118" i="5"/>
  <c r="AG118" i="5" s="1"/>
  <c r="V118" i="5"/>
  <c r="W118" i="5" s="1"/>
  <c r="AD117" i="5"/>
  <c r="AG117" i="5" s="1"/>
  <c r="V117" i="5"/>
  <c r="W117" i="5" s="1"/>
  <c r="AD116" i="5"/>
  <c r="AG116" i="5" s="1"/>
  <c r="V116" i="5"/>
  <c r="W116" i="5" s="1"/>
  <c r="AD115" i="5"/>
  <c r="AG115" i="5" s="1"/>
  <c r="V115" i="5"/>
  <c r="W115" i="5" s="1"/>
  <c r="AD114" i="5"/>
  <c r="AG114" i="5" s="1"/>
  <c r="V114" i="5"/>
  <c r="W114" i="5" s="1"/>
  <c r="AD113" i="5"/>
  <c r="AG113" i="5" s="1"/>
  <c r="V113" i="5"/>
  <c r="W113" i="5" s="1"/>
  <c r="AD112" i="5"/>
  <c r="AG112" i="5" s="1"/>
  <c r="V112" i="5"/>
  <c r="W112" i="5" s="1"/>
  <c r="AD111" i="5"/>
  <c r="AG111" i="5" s="1"/>
  <c r="V111" i="5"/>
  <c r="W111" i="5" s="1"/>
  <c r="AD110" i="5"/>
  <c r="AG110" i="5" s="1"/>
  <c r="V110" i="5"/>
  <c r="W110" i="5" s="1"/>
  <c r="AD109" i="5"/>
  <c r="AG109" i="5" s="1"/>
  <c r="V109" i="5"/>
  <c r="W109" i="5" s="1"/>
  <c r="AD108" i="5"/>
  <c r="AG108" i="5" s="1"/>
  <c r="V108" i="5"/>
  <c r="W108" i="5" s="1"/>
  <c r="AD107" i="5"/>
  <c r="AG107" i="5" s="1"/>
  <c r="V107" i="5"/>
  <c r="W107" i="5" s="1"/>
  <c r="AD106" i="5"/>
  <c r="AG106" i="5" s="1"/>
  <c r="V106" i="5"/>
  <c r="W106" i="5" s="1"/>
  <c r="AD105" i="5"/>
  <c r="AG105" i="5" s="1"/>
  <c r="V105" i="5"/>
  <c r="W105" i="5" s="1"/>
  <c r="AD104" i="5"/>
  <c r="AG104" i="5" s="1"/>
  <c r="V104" i="5"/>
  <c r="W104" i="5" s="1"/>
  <c r="AD103" i="5"/>
  <c r="AG103" i="5" s="1"/>
  <c r="V103" i="5"/>
  <c r="W103" i="5" s="1"/>
  <c r="AD102" i="5"/>
  <c r="AG102" i="5" s="1"/>
  <c r="V102" i="5"/>
  <c r="W102" i="5" s="1"/>
  <c r="AD101" i="5"/>
  <c r="AE101" i="5" s="1"/>
  <c r="V101" i="5"/>
  <c r="W101" i="5" s="1"/>
  <c r="AD100" i="5"/>
  <c r="AG100" i="5" s="1"/>
  <c r="V100" i="5"/>
  <c r="W100" i="5" s="1"/>
  <c r="AD99" i="5"/>
  <c r="AG99" i="5" s="1"/>
  <c r="V99" i="5"/>
  <c r="W99" i="5" s="1"/>
  <c r="AD98" i="5"/>
  <c r="AG98" i="5" s="1"/>
  <c r="V98" i="5"/>
  <c r="W98" i="5" s="1"/>
  <c r="AD97" i="5"/>
  <c r="AG97" i="5" s="1"/>
  <c r="V97" i="5"/>
  <c r="W97" i="5" s="1"/>
  <c r="AD96" i="5"/>
  <c r="AG96" i="5" s="1"/>
  <c r="V96" i="5"/>
  <c r="W96" i="5" s="1"/>
  <c r="AD95" i="5"/>
  <c r="AG95" i="5" s="1"/>
  <c r="V95" i="5"/>
  <c r="W95" i="5" s="1"/>
  <c r="AD94" i="5"/>
  <c r="AG94" i="5" s="1"/>
  <c r="V94" i="5"/>
  <c r="W94" i="5" s="1"/>
  <c r="AD93" i="5"/>
  <c r="AG93" i="5" s="1"/>
  <c r="V93" i="5"/>
  <c r="W93" i="5" s="1"/>
  <c r="AD92" i="5"/>
  <c r="AG92" i="5" s="1"/>
  <c r="V92" i="5"/>
  <c r="W92" i="5" s="1"/>
  <c r="AD91" i="5"/>
  <c r="AE91" i="5" s="1"/>
  <c r="V91" i="5"/>
  <c r="W91" i="5" s="1"/>
  <c r="AD90" i="5"/>
  <c r="AG90" i="5" s="1"/>
  <c r="V90" i="5"/>
  <c r="W90" i="5" s="1"/>
  <c r="AD89" i="5"/>
  <c r="AG89" i="5" s="1"/>
  <c r="V89" i="5"/>
  <c r="W89" i="5" s="1"/>
  <c r="AD88" i="5"/>
  <c r="AG88" i="5" s="1"/>
  <c r="V88" i="5"/>
  <c r="W88" i="5" s="1"/>
  <c r="AD87" i="5"/>
  <c r="AG87" i="5" s="1"/>
  <c r="V87" i="5"/>
  <c r="W87" i="5" s="1"/>
  <c r="AD86" i="5"/>
  <c r="AG86" i="5" s="1"/>
  <c r="V86" i="5"/>
  <c r="W86" i="5" s="1"/>
  <c r="AD85" i="5"/>
  <c r="AE85" i="5" s="1"/>
  <c r="V85" i="5"/>
  <c r="W85" i="5" s="1"/>
  <c r="AD84" i="5"/>
  <c r="AG84" i="5" s="1"/>
  <c r="V84" i="5"/>
  <c r="W84" i="5" s="1"/>
  <c r="AD83" i="5"/>
  <c r="AG83" i="5" s="1"/>
  <c r="V83" i="5"/>
  <c r="W83" i="5" s="1"/>
  <c r="AD82" i="5"/>
  <c r="AG82" i="5" s="1"/>
  <c r="V82" i="5"/>
  <c r="W82" i="5" s="1"/>
  <c r="AD81" i="5"/>
  <c r="AE81" i="5" s="1"/>
  <c r="V81" i="5"/>
  <c r="W81" i="5" s="1"/>
  <c r="AD80" i="5"/>
  <c r="AG80" i="5" s="1"/>
  <c r="V80" i="5"/>
  <c r="W80" i="5" s="1"/>
  <c r="AD79" i="5"/>
  <c r="AG79" i="5" s="1"/>
  <c r="V79" i="5"/>
  <c r="W79" i="5" s="1"/>
  <c r="AD78" i="5"/>
  <c r="AG78" i="5" s="1"/>
  <c r="V78" i="5"/>
  <c r="W78" i="5" s="1"/>
  <c r="AD77" i="5"/>
  <c r="AG77" i="5" s="1"/>
  <c r="V77" i="5"/>
  <c r="W77" i="5" s="1"/>
  <c r="AD76" i="5"/>
  <c r="AG76" i="5" s="1"/>
  <c r="V76" i="5"/>
  <c r="W76" i="5" s="1"/>
  <c r="AD75" i="5"/>
  <c r="AG75" i="5" s="1"/>
  <c r="V75" i="5"/>
  <c r="W75" i="5" s="1"/>
  <c r="AD74" i="5"/>
  <c r="AG74" i="5" s="1"/>
  <c r="V74" i="5"/>
  <c r="W74" i="5" s="1"/>
  <c r="AD73" i="5"/>
  <c r="AG73" i="5" s="1"/>
  <c r="V73" i="5"/>
  <c r="W73" i="5" s="1"/>
  <c r="AD72" i="5"/>
  <c r="AG72" i="5" s="1"/>
  <c r="V72" i="5"/>
  <c r="W72" i="5" s="1"/>
  <c r="AD71" i="5"/>
  <c r="AG71" i="5" s="1"/>
  <c r="V71" i="5"/>
  <c r="W71" i="5" s="1"/>
  <c r="AD70" i="5"/>
  <c r="AG70" i="5" s="1"/>
  <c r="V70" i="5"/>
  <c r="W70" i="5" s="1"/>
  <c r="AD69" i="5"/>
  <c r="AG69" i="5" s="1"/>
  <c r="V69" i="5"/>
  <c r="W69" i="5" s="1"/>
  <c r="AD68" i="5"/>
  <c r="AG68" i="5" s="1"/>
  <c r="V68" i="5"/>
  <c r="W68" i="5" s="1"/>
  <c r="AD67" i="5"/>
  <c r="AG67" i="5" s="1"/>
  <c r="V67" i="5"/>
  <c r="W67" i="5" s="1"/>
  <c r="AD66" i="5"/>
  <c r="AG66" i="5" s="1"/>
  <c r="V66" i="5"/>
  <c r="W66" i="5" s="1"/>
  <c r="AD65" i="5"/>
  <c r="AG65" i="5" s="1"/>
  <c r="V65" i="5"/>
  <c r="W65" i="5" s="1"/>
  <c r="AD64" i="5"/>
  <c r="AG64" i="5" s="1"/>
  <c r="V64" i="5"/>
  <c r="W64" i="5" s="1"/>
  <c r="AD63" i="5"/>
  <c r="AG63" i="5" s="1"/>
  <c r="V63" i="5"/>
  <c r="W63" i="5" s="1"/>
  <c r="AD62" i="5"/>
  <c r="AG62" i="5" s="1"/>
  <c r="V62" i="5"/>
  <c r="W62" i="5" s="1"/>
  <c r="AD61" i="5"/>
  <c r="AE61" i="5" s="1"/>
  <c r="V61" i="5"/>
  <c r="W61" i="5" s="1"/>
  <c r="AD60" i="5"/>
  <c r="AG60" i="5" s="1"/>
  <c r="V60" i="5"/>
  <c r="W60" i="5" s="1"/>
  <c r="AD59" i="5"/>
  <c r="AE59" i="5" s="1"/>
  <c r="V59" i="5"/>
  <c r="W59" i="5" s="1"/>
  <c r="AD58" i="5"/>
  <c r="AG58" i="5" s="1"/>
  <c r="V58" i="5"/>
  <c r="W58" i="5" s="1"/>
  <c r="AD57" i="5"/>
  <c r="AG57" i="5" s="1"/>
  <c r="V57" i="5"/>
  <c r="W57" i="5" s="1"/>
  <c r="AD56" i="5"/>
  <c r="AG56" i="5" s="1"/>
  <c r="V56" i="5"/>
  <c r="W56" i="5" s="1"/>
  <c r="AD55" i="5"/>
  <c r="AG55" i="5" s="1"/>
  <c r="V55" i="5"/>
  <c r="W55" i="5" s="1"/>
  <c r="AD54" i="5"/>
  <c r="AG54" i="5" s="1"/>
  <c r="V54" i="5"/>
  <c r="W54" i="5" s="1"/>
  <c r="AD53" i="5"/>
  <c r="AG53" i="5" s="1"/>
  <c r="V53" i="5"/>
  <c r="W53" i="5" s="1"/>
  <c r="AD52" i="5"/>
  <c r="AG52" i="5" s="1"/>
  <c r="V52" i="5"/>
  <c r="W52" i="5" s="1"/>
  <c r="AD51" i="5"/>
  <c r="AE51" i="5" s="1"/>
  <c r="V51" i="5"/>
  <c r="W51" i="5" s="1"/>
  <c r="AD50" i="5"/>
  <c r="AG50" i="5" s="1"/>
  <c r="V50" i="5"/>
  <c r="W50" i="5" s="1"/>
  <c r="AD49" i="5"/>
  <c r="AG49" i="5" s="1"/>
  <c r="V49" i="5"/>
  <c r="W49" i="5" s="1"/>
  <c r="AD48" i="5"/>
  <c r="AG48" i="5" s="1"/>
  <c r="V48" i="5"/>
  <c r="W48" i="5" s="1"/>
  <c r="AD47" i="5"/>
  <c r="AG47" i="5" s="1"/>
  <c r="V47" i="5"/>
  <c r="W47" i="5" s="1"/>
  <c r="AD46" i="5"/>
  <c r="AG46" i="5" s="1"/>
  <c r="V46" i="5"/>
  <c r="AD45" i="5"/>
  <c r="AE45" i="5" s="1"/>
  <c r="V45" i="5"/>
  <c r="W45" i="5" s="1"/>
  <c r="AD44" i="5"/>
  <c r="AG44" i="5" s="1"/>
  <c r="V44" i="5"/>
  <c r="W44" i="5" s="1"/>
  <c r="AD43" i="5"/>
  <c r="AG43" i="5" s="1"/>
  <c r="V43" i="5"/>
  <c r="W43" i="5" s="1"/>
  <c r="AD42" i="5"/>
  <c r="AG42" i="5" s="1"/>
  <c r="V42" i="5"/>
  <c r="W42" i="5" s="1"/>
  <c r="AD41" i="5"/>
  <c r="AE41" i="5" s="1"/>
  <c r="V41" i="5"/>
  <c r="W41" i="5" s="1"/>
  <c r="AD40" i="5"/>
  <c r="AG40" i="5" s="1"/>
  <c r="V40" i="5"/>
  <c r="W40" i="5" s="1"/>
  <c r="AE39" i="5"/>
  <c r="AD39" i="5"/>
  <c r="AG39" i="5" s="1"/>
  <c r="V39" i="5"/>
  <c r="W39" i="5" s="1"/>
  <c r="AD38" i="5"/>
  <c r="AG38" i="5" s="1"/>
  <c r="V38" i="5"/>
  <c r="W38" i="5" s="1"/>
  <c r="AD37" i="5"/>
  <c r="AG37" i="5" s="1"/>
  <c r="V37" i="5"/>
  <c r="W37" i="5" s="1"/>
  <c r="AD36" i="5"/>
  <c r="AG36" i="5" s="1"/>
  <c r="V36" i="5"/>
  <c r="W36" i="5" s="1"/>
  <c r="AD35" i="5"/>
  <c r="AG35" i="5" s="1"/>
  <c r="V35" i="5"/>
  <c r="W35" i="5" s="1"/>
  <c r="AD34" i="5"/>
  <c r="AG34" i="5" s="1"/>
  <c r="V34" i="5"/>
  <c r="W34" i="5" s="1"/>
  <c r="AD33" i="5"/>
  <c r="AG33" i="5" s="1"/>
  <c r="V33" i="5"/>
  <c r="W33" i="5" s="1"/>
  <c r="AD32" i="5"/>
  <c r="AG32" i="5" s="1"/>
  <c r="V32" i="5"/>
  <c r="W32" i="5" s="1"/>
  <c r="AD31" i="5"/>
  <c r="AG31" i="5" s="1"/>
  <c r="V31" i="5"/>
  <c r="W31" i="5" s="1"/>
  <c r="AD30" i="5"/>
  <c r="AG30" i="5" s="1"/>
  <c r="V30" i="5"/>
  <c r="W30" i="5" s="1"/>
  <c r="AD29" i="5"/>
  <c r="AG29" i="5" s="1"/>
  <c r="V29" i="5"/>
  <c r="W29" i="5" s="1"/>
  <c r="AD28" i="5"/>
  <c r="AG28" i="5" s="1"/>
  <c r="V28" i="5"/>
  <c r="W28" i="5" s="1"/>
  <c r="AD27" i="5"/>
  <c r="AG27" i="5" s="1"/>
  <c r="V27" i="5"/>
  <c r="W27" i="5" s="1"/>
  <c r="AD26" i="5"/>
  <c r="AG26" i="5" s="1"/>
  <c r="V26" i="5"/>
  <c r="AD25" i="5"/>
  <c r="AG25" i="5" s="1"/>
  <c r="V25" i="5"/>
  <c r="W25" i="5" s="1"/>
  <c r="AD24" i="5"/>
  <c r="AG24" i="5" s="1"/>
  <c r="V24" i="5"/>
  <c r="W24" i="5" s="1"/>
  <c r="AD23" i="5"/>
  <c r="AG23" i="5" s="1"/>
  <c r="V23" i="5"/>
  <c r="W23" i="5" s="1"/>
  <c r="AD22" i="5"/>
  <c r="AG22" i="5" s="1"/>
  <c r="V22" i="5"/>
  <c r="W22" i="5" s="1"/>
  <c r="AD21" i="5"/>
  <c r="AE21" i="5" s="1"/>
  <c r="V21" i="5"/>
  <c r="W21" i="5" s="1"/>
  <c r="AD20" i="5"/>
  <c r="AG20" i="5" s="1"/>
  <c r="V20" i="5"/>
  <c r="W20" i="5" s="1"/>
  <c r="AD19" i="5"/>
  <c r="AG19" i="5" s="1"/>
  <c r="V19" i="5"/>
  <c r="W19" i="5" s="1"/>
  <c r="AD18" i="5"/>
  <c r="AG18" i="5" s="1"/>
  <c r="V18" i="5"/>
  <c r="W18" i="5" s="1"/>
  <c r="AD17" i="5"/>
  <c r="AG17" i="5" s="1"/>
  <c r="V17" i="5"/>
  <c r="W17" i="5" s="1"/>
  <c r="AD16" i="5"/>
  <c r="AG16" i="5" s="1"/>
  <c r="V16" i="5"/>
  <c r="W16" i="5" s="1"/>
  <c r="AD15" i="5"/>
  <c r="AG15" i="5" s="1"/>
  <c r="V15" i="5"/>
  <c r="W15" i="5" s="1"/>
  <c r="AD14" i="5"/>
  <c r="AG14" i="5" s="1"/>
  <c r="V14" i="5"/>
  <c r="W14" i="5" s="1"/>
  <c r="AD13" i="5"/>
  <c r="AG13" i="5" s="1"/>
  <c r="V13" i="5"/>
  <c r="W13" i="5" s="1"/>
  <c r="AD12" i="5"/>
  <c r="AG12" i="5" s="1"/>
  <c r="V12" i="5"/>
  <c r="W12" i="5" s="1"/>
  <c r="AD11" i="5"/>
  <c r="AE11" i="5" s="1"/>
  <c r="V11" i="5"/>
  <c r="W11" i="5" s="1"/>
  <c r="AD10" i="5"/>
  <c r="AG10" i="5" s="1"/>
  <c r="V10" i="5"/>
  <c r="W10" i="5" s="1"/>
  <c r="AD9" i="5"/>
  <c r="AG9" i="5" s="1"/>
  <c r="V9" i="5"/>
  <c r="W9" i="5" s="1"/>
  <c r="AD8" i="5"/>
  <c r="AG8" i="5" s="1"/>
  <c r="V8" i="5"/>
  <c r="W8" i="5" s="1"/>
  <c r="AD7" i="5"/>
  <c r="AE7" i="5" s="1"/>
  <c r="V7" i="5"/>
  <c r="W7" i="5" s="1"/>
  <c r="AD6" i="5"/>
  <c r="AG6" i="5" s="1"/>
  <c r="V6" i="5"/>
  <c r="W6" i="5" s="1"/>
  <c r="AD5" i="5"/>
  <c r="AE5" i="5" s="1"/>
  <c r="V5" i="5"/>
  <c r="W5" i="5" s="1"/>
  <c r="AD4" i="5"/>
  <c r="AG4" i="5" s="1"/>
  <c r="V4" i="5"/>
  <c r="W4" i="5" s="1"/>
  <c r="AD3" i="5"/>
  <c r="AG3" i="5" s="1"/>
  <c r="V3" i="5"/>
  <c r="W3" i="5" s="1"/>
  <c r="AD2" i="5"/>
  <c r="V2" i="5"/>
  <c r="AE19" i="5" l="1"/>
  <c r="AE105" i="5"/>
  <c r="AE87" i="5"/>
  <c r="AG51" i="5"/>
  <c r="AG85" i="5"/>
  <c r="AE119" i="5"/>
  <c r="AG91" i="5"/>
  <c r="AE65" i="5"/>
  <c r="AG61" i="5"/>
  <c r="AG59" i="5"/>
  <c r="E20" i="6" s="1"/>
  <c r="AG45" i="5"/>
  <c r="AG21" i="5"/>
  <c r="AE25" i="5"/>
  <c r="AG121" i="5"/>
  <c r="AE75" i="5"/>
  <c r="AG101" i="5"/>
  <c r="E21" i="6" s="1"/>
  <c r="AG7" i="5"/>
  <c r="AG11" i="5"/>
  <c r="AE67" i="5"/>
  <c r="AE71" i="5"/>
  <c r="AG41" i="5"/>
  <c r="AG81" i="5"/>
  <c r="AG5" i="5"/>
  <c r="AE27" i="5"/>
  <c r="AE79" i="5"/>
  <c r="AE17" i="5"/>
  <c r="AE31" i="5"/>
  <c r="AE35" i="5"/>
  <c r="AE99" i="5"/>
  <c r="AE107" i="5"/>
  <c r="AE111" i="5"/>
  <c r="C19" i="6"/>
  <c r="AE47" i="5"/>
  <c r="AE55" i="5"/>
  <c r="AE15" i="5"/>
  <c r="C22" i="6"/>
  <c r="AE13" i="5"/>
  <c r="AE33" i="5"/>
  <c r="AE53" i="5"/>
  <c r="AE73" i="5"/>
  <c r="AE93" i="5"/>
  <c r="D21" i="6"/>
  <c r="AE113" i="5"/>
  <c r="D22" i="6"/>
  <c r="AE37" i="5"/>
  <c r="C20" i="6"/>
  <c r="AE57" i="5"/>
  <c r="AE77" i="5"/>
  <c r="AE97" i="5"/>
  <c r="AE117" i="5"/>
  <c r="D18" i="6"/>
  <c r="AE3" i="5"/>
  <c r="AE23" i="5"/>
  <c r="AE43" i="5"/>
  <c r="AE63" i="5"/>
  <c r="AE83" i="5"/>
  <c r="AE103" i="5"/>
  <c r="AE9" i="5"/>
  <c r="AE29" i="5"/>
  <c r="AE49" i="5"/>
  <c r="AE69" i="5"/>
  <c r="AE89" i="5"/>
  <c r="AE109" i="5"/>
  <c r="AE95" i="5"/>
  <c r="AE115" i="5"/>
  <c r="E19" i="6"/>
  <c r="D20" i="6"/>
  <c r="C18" i="6"/>
  <c r="C21" i="6"/>
  <c r="W2" i="5"/>
  <c r="W26" i="5"/>
  <c r="W46" i="5"/>
  <c r="D19" i="6"/>
  <c r="AE2" i="5"/>
  <c r="AE4" i="5"/>
  <c r="AE6" i="5"/>
  <c r="AE8" i="5"/>
  <c r="AE10" i="5"/>
  <c r="AE12" i="5"/>
  <c r="AE14" i="5"/>
  <c r="AE16" i="5"/>
  <c r="AE18" i="5"/>
  <c r="AE20" i="5"/>
  <c r="AE22" i="5"/>
  <c r="AE24" i="5"/>
  <c r="AE26" i="5"/>
  <c r="AE28" i="5"/>
  <c r="AE30" i="5"/>
  <c r="AE32" i="5"/>
  <c r="AE34" i="5"/>
  <c r="AE36" i="5"/>
  <c r="AE38" i="5"/>
  <c r="AE40" i="5"/>
  <c r="AE42" i="5"/>
  <c r="AE44" i="5"/>
  <c r="AE46" i="5"/>
  <c r="AE48" i="5"/>
  <c r="AE50" i="5"/>
  <c r="AE52" i="5"/>
  <c r="AE54" i="5"/>
  <c r="AE56" i="5"/>
  <c r="AE58" i="5"/>
  <c r="AE60" i="5"/>
  <c r="AE62" i="5"/>
  <c r="AE64" i="5"/>
  <c r="AE66" i="5"/>
  <c r="AE68" i="5"/>
  <c r="AE70" i="5"/>
  <c r="AE72" i="5"/>
  <c r="AE74" i="5"/>
  <c r="AE76" i="5"/>
  <c r="AE78" i="5"/>
  <c r="AE80" i="5"/>
  <c r="AE82" i="5"/>
  <c r="AE84" i="5"/>
  <c r="AE86" i="5"/>
  <c r="AE88" i="5"/>
  <c r="AE90" i="5"/>
  <c r="AE92" i="5"/>
  <c r="AE94" i="5"/>
  <c r="AE96" i="5"/>
  <c r="AE98" i="5"/>
  <c r="AE100" i="5"/>
  <c r="AE102" i="5"/>
  <c r="AE104" i="5"/>
  <c r="AE106" i="5"/>
  <c r="AE108" i="5"/>
  <c r="AE110" i="5"/>
  <c r="AE112" i="5"/>
  <c r="AE114" i="5"/>
  <c r="AE116" i="5"/>
  <c r="AE118" i="5"/>
  <c r="AE120" i="5"/>
  <c r="AG2" i="5"/>
  <c r="C32" i="6" l="1"/>
  <c r="E18" i="6"/>
  <c r="C28" i="6"/>
  <c r="C30" i="6"/>
  <c r="B9" i="6"/>
  <c r="E22" i="6"/>
  <c r="B11" i="6"/>
  <c r="C36" i="6"/>
  <c r="B10" i="6"/>
  <c r="C31" i="6"/>
  <c r="C34" i="6"/>
  <c r="C29" i="6"/>
  <c r="C33" i="6"/>
  <c r="C35" i="6"/>
  <c r="C2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 authorId="0" shapeId="0" xr:uid="{00000000-0006-0000-0400-000001000000}">
      <text>
        <r>
          <rPr>
            <sz val="11"/>
            <color theme="1"/>
            <rFont val="Calibri"/>
            <family val="2"/>
            <scheme val="minor"/>
          </rPr>
          <t>Données fictives générées le 2026-03-16. Structure inspirée de référentiels officiels ACPR / EIOPA / CNIL / ameli.</t>
        </r>
      </text>
    </comment>
  </commentList>
</comments>
</file>

<file path=xl/sharedStrings.xml><?xml version="1.0" encoding="utf-8"?>
<sst xmlns="http://schemas.openxmlformats.org/spreadsheetml/2006/main" count="3778" uniqueCount="955">
  <si>
    <t>Cartographie des risques – Assurance santé (version réaliste, fictive)</t>
  </si>
  <si>
    <t>Objectif</t>
  </si>
  <si>
    <t>Fournir un registre de risques sectoriel crédible pour un organisme complémentaire d'assurance santé / mutuelle / assureur santé opérant en France. Le fichier est fictif mais construit à partir de risques et contrôles typiques du secteur.</t>
  </si>
  <si>
    <t>Ce que contient le classeur</t>
  </si>
  <si>
    <t>1) un registre détaillé de 120 risques ; 2) un dictionnaire des champs ; 3) une méthodologie de scoring ; 4) une synthèse ; 5) une liste de sources réglementaires et sectorielles officielles.</t>
  </si>
  <si>
    <t>Périmètre sectoriel modélisé</t>
  </si>
  <si>
    <t>Souscription, pilotage technique, prestations, relation adhérents, tiers payant / flux NOEMIE, réseau de soins, cotisations, ORSA / Solvabilité II, conformité / DDA / fraude, données de santé / RGPD, applications cœur / cybersécurité.</t>
  </si>
  <si>
    <t>Comment lire le registre</t>
  </si>
  <si>
    <t>Les colonnes Probabilité/Impact bruts mesurent le risque avant contrôle. Les colonnes résiduelles mesurent le risque après prise en compte des contrôles clés. Le statut vs appétit compare le score résiduel à un seuil d'appétit (Faible=6, Modéré=9, Élevé=12).</t>
  </si>
  <si>
    <t>Niveau de réalisme</t>
  </si>
  <si>
    <t>Les scénarios, causes, contrôles, KRI et impacts ont été sectorisés. Les montants, incidents et populations affectées restent synthétiques et ne constituent pas des données observées.</t>
  </si>
  <si>
    <t>Sources utilisées pour le cadrage</t>
  </si>
  <si>
    <t>Voir la feuille Sources. Les structures de risques se fondent notamment sur Solvabilité II / ORSA, la gouvernance d'assurance, la DDA, le RGPD appliqué à la santé et la norme NOEMIE.</t>
  </si>
  <si>
    <t>Feuilles</t>
  </si>
  <si>
    <t>README</t>
  </si>
  <si>
    <t>Methodologie</t>
  </si>
  <si>
    <t>Dictionnaire</t>
  </si>
  <si>
    <t>Sources</t>
  </si>
  <si>
    <t>Registre_Risques</t>
  </si>
  <si>
    <t>Synthese</t>
  </si>
  <si>
    <t>Méthodologie de construction du dataset</t>
  </si>
  <si>
    <t>Bloc</t>
  </si>
  <si>
    <t>Champ</t>
  </si>
  <si>
    <t>Règle</t>
  </si>
  <si>
    <t>Commentaire</t>
  </si>
  <si>
    <t>Source / Référence</t>
  </si>
  <si>
    <t>Périmètre</t>
  </si>
  <si>
    <t>Organisme modélisé</t>
  </si>
  <si>
    <t>OCAM / mutuelle / assureur santé français</t>
  </si>
  <si>
    <t>Le périmètre combine assurance santé, réseau de soins, NOEMIE, DDA, RGPD, Solvabilité II.</t>
  </si>
  <si>
    <t>Voir feuille Sources</t>
  </si>
  <si>
    <t>Granularité</t>
  </si>
  <si>
    <t>Nombre de risques</t>
  </si>
  <si>
    <t>120 risques</t>
  </si>
  <si>
    <t>Structure volumique proche d'un registre RCSA intermédiaire/centralisé.</t>
  </si>
  <si>
    <t>Interne (dataset fictif)</t>
  </si>
  <si>
    <t>Notation</t>
  </si>
  <si>
    <t>Probabilité / Impact</t>
  </si>
  <si>
    <t>Échelle 1 à 5</t>
  </si>
  <si>
    <t>1=faible/rare ; 5=critique/quasi certaine.</t>
  </si>
  <si>
    <t>Bonne pratique risk management</t>
  </si>
  <si>
    <t>Formule</t>
  </si>
  <si>
    <t>Score brut</t>
  </si>
  <si>
    <t>Probabilité brute x Impact brut</t>
  </si>
  <si>
    <t>Calcul automatique par formule.</t>
  </si>
  <si>
    <t>Interne</t>
  </si>
  <si>
    <t>Score résiduel</t>
  </si>
  <si>
    <t>Probabilité résiduelle x Impact résiduel</t>
  </si>
  <si>
    <t>Appétit</t>
  </si>
  <si>
    <t>Seuils</t>
  </si>
  <si>
    <t>Faible=6 ; Modéré=9 ; Élevé=12</t>
  </si>
  <si>
    <t>Utilisé pour Statut vs appétit.</t>
  </si>
  <si>
    <t>Réglementaire</t>
  </si>
  <si>
    <t>Solvabilité II / ORSA</t>
  </si>
  <si>
    <t>Pilotage prudentiel, gouvernance, contrôle interne, reporting</t>
  </si>
  <si>
    <t>Particulièrement pertinent pour les risques prudentiels / gouvernance.</t>
  </si>
  <si>
    <t>ACPR / EIOPA</t>
  </si>
  <si>
    <t>DDA</t>
  </si>
  <si>
    <t>Distribution, devoir de conseil, gouvernance produit</t>
  </si>
  <si>
    <t>Pertinent pour souscription/distribution/réclamations.</t>
  </si>
  <si>
    <t>ACPR</t>
  </si>
  <si>
    <t>RGPD / données de santé</t>
  </si>
  <si>
    <t>Licéité, minimisation, habilitations, conservation</t>
  </si>
  <si>
    <t>Pertinent pour données santé et justificatifs.</t>
  </si>
  <si>
    <t>CNIL</t>
  </si>
  <si>
    <t>NOEMIE / télétransmission</t>
  </si>
  <si>
    <t>Échanges techniques assurance maladie / complémentaire</t>
  </si>
  <si>
    <t>Pertinent pour tiers payant et rejets de flux.</t>
  </si>
  <si>
    <t>ameli</t>
  </si>
  <si>
    <t>Construction</t>
  </si>
  <si>
    <t>KRI</t>
  </si>
  <si>
    <t>Un KRI par risque</t>
  </si>
  <si>
    <t>Seuils vert/orange/rouge selon type de risque.</t>
  </si>
  <si>
    <t>Impacts</t>
  </si>
  <si>
    <t>Financier + conformité + client + opérationnel</t>
  </si>
  <si>
    <t>Libellés qualitatifs ; pertes 12m synthétiques en EUR.</t>
  </si>
  <si>
    <t>Définition</t>
  </si>
  <si>
    <t>Type</t>
  </si>
  <si>
    <t>Exemple</t>
  </si>
  <si>
    <t>Risk_ID</t>
  </si>
  <si>
    <t>Identifiant unique du risque</t>
  </si>
  <si>
    <t>Texte</t>
  </si>
  <si>
    <t>RSH-001</t>
  </si>
  <si>
    <t>Direction</t>
  </si>
  <si>
    <t>Grande direction métier</t>
  </si>
  <si>
    <t>Liste</t>
  </si>
  <si>
    <t>Prestations &amp; Relation Adhérents</t>
  </si>
  <si>
    <t>Processus</t>
  </si>
  <si>
    <t>Processus de niveau 1</t>
  </si>
  <si>
    <t>Gestion des prestations et remboursements</t>
  </si>
  <si>
    <t>Sous_processus</t>
  </si>
  <si>
    <t>Activité ou sous-processus détaillé</t>
  </si>
  <si>
    <t>Paiement des prestations</t>
  </si>
  <si>
    <t>Process_Owner</t>
  </si>
  <si>
    <t>Responsable métier du processus</t>
  </si>
  <si>
    <t>Directeur Prestations Santé</t>
  </si>
  <si>
    <t>Risk_Owner</t>
  </si>
  <si>
    <t>Responsable du pilotage du risque</t>
  </si>
  <si>
    <t>Directeur Prestations</t>
  </si>
  <si>
    <t>Control_Owner</t>
  </si>
  <si>
    <t>Responsable du contrôle clé</t>
  </si>
  <si>
    <t>Responsable Paiements Prestations</t>
  </si>
  <si>
    <t>Famille_de_risque</t>
  </si>
  <si>
    <t>Typologie du risque</t>
  </si>
  <si>
    <t>Données / SI / Cyber</t>
  </si>
  <si>
    <t>Theme_reglementaire</t>
  </si>
  <si>
    <t>Référentiel principal associé</t>
  </si>
  <si>
    <t>RGPD / sécurité / continuité</t>
  </si>
  <si>
    <t>Description_du_risque</t>
  </si>
  <si>
    <t>Formulation concise du risque</t>
  </si>
  <si>
    <t>Indisponibilité majeure impactant Paiement des prestations</t>
  </si>
  <si>
    <t>Scenario_de_risque</t>
  </si>
  <si>
    <t>Exemple d'occurrence sectorielle</t>
  </si>
  <si>
    <t>Rupture de télétransmission ou cyberincident...</t>
  </si>
  <si>
    <t>Cause_racine</t>
  </si>
  <si>
    <t>Cause principale du risque</t>
  </si>
  <si>
    <t>Habilitations excessives, supervision insuffisante...</t>
  </si>
  <si>
    <t>Consequences_potentielles</t>
  </si>
  <si>
    <t>Conséquences principales</t>
  </si>
  <si>
    <t>Interruption d'activité, fuite de données...</t>
  </si>
  <si>
    <t>KRI_nom</t>
  </si>
  <si>
    <t>Nom de l'indicateur de risque clé</t>
  </si>
  <si>
    <t>Taux d'anomalies opérationnelles...</t>
  </si>
  <si>
    <t>Unite_KRI</t>
  </si>
  <si>
    <t>Unité de mesure du KRI</t>
  </si>
  <si>
    <t>% / nb</t>
  </si>
  <si>
    <t>Seuil_vert</t>
  </si>
  <si>
    <t>Niveau vert</t>
  </si>
  <si>
    <t>Nombre</t>
  </si>
  <si>
    <t>1.0</t>
  </si>
  <si>
    <t>Seuil_orange</t>
  </si>
  <si>
    <t>Niveau orange</t>
  </si>
  <si>
    <t>2.5</t>
  </si>
  <si>
    <t>Seuil_rouge</t>
  </si>
  <si>
    <t>Niveau rouge</t>
  </si>
  <si>
    <t>4.0</t>
  </si>
  <si>
    <t>Valeur_actuelle_KRI</t>
  </si>
  <si>
    <t>Valeur actuelle de l'indicateur</t>
  </si>
  <si>
    <t>3.2</t>
  </si>
  <si>
    <t>Probabilite_brute</t>
  </si>
  <si>
    <t>Probabilité avant contrôle (1-5)</t>
  </si>
  <si>
    <t>Entier</t>
  </si>
  <si>
    <t>4</t>
  </si>
  <si>
    <t>Impact_brut</t>
  </si>
  <si>
    <t>Impact avant contrôle (1-5)</t>
  </si>
  <si>
    <t>5</t>
  </si>
  <si>
    <t>Score_brut</t>
  </si>
  <si>
    <t>P x I avant contrôle</t>
  </si>
  <si>
    <t>20</t>
  </si>
  <si>
    <t>Niveau_brut</t>
  </si>
  <si>
    <t>Niveau de criticité brut</t>
  </si>
  <si>
    <t>Critique</t>
  </si>
  <si>
    <t>Controle_cle</t>
  </si>
  <si>
    <t>Contrôle principal</t>
  </si>
  <si>
    <t>Revue de conformité, piste d'audit...</t>
  </si>
  <si>
    <t>Type_de_controle</t>
  </si>
  <si>
    <t>Préventif / Détectif / Mixte</t>
  </si>
  <si>
    <t>Préventif</t>
  </si>
  <si>
    <t>Frequence_controle</t>
  </si>
  <si>
    <t>Fréquence du contrôle</t>
  </si>
  <si>
    <t>Mensuelle</t>
  </si>
  <si>
    <t>Efficacite_controle</t>
  </si>
  <si>
    <t>Appréciation de l'efficacité</t>
  </si>
  <si>
    <t>Moyenne</t>
  </si>
  <si>
    <t>Probabilite_residuelle</t>
  </si>
  <si>
    <t>Probabilité après contrôle (1-5)</t>
  </si>
  <si>
    <t>2</t>
  </si>
  <si>
    <t>Impact_residuel</t>
  </si>
  <si>
    <t>Impact après contrôle (1-5)</t>
  </si>
  <si>
    <t>Score_residuel</t>
  </si>
  <si>
    <t>P x I après contrôle</t>
  </si>
  <si>
    <t>8</t>
  </si>
  <si>
    <t>Niveau_residuel</t>
  </si>
  <si>
    <t>Niveau de criticité résiduelle</t>
  </si>
  <si>
    <t>Modéré</t>
  </si>
  <si>
    <t>Appetit_au_risque</t>
  </si>
  <si>
    <t>Tolérance cible</t>
  </si>
  <si>
    <t>Faible</t>
  </si>
  <si>
    <t>Statut_vs_appetit</t>
  </si>
  <si>
    <t>Comparaison score résiduel vs appétit</t>
  </si>
  <si>
    <t>Hors appétit</t>
  </si>
  <si>
    <t>Strategie_de_traitement</t>
  </si>
  <si>
    <t>Réponse retenue</t>
  </si>
  <si>
    <t>Réduire / Mitiger / Partager / Accepter</t>
  </si>
  <si>
    <t>Plan_d_action</t>
  </si>
  <si>
    <t>Action principale</t>
  </si>
  <si>
    <t>Renforcer les contrôles ciblés...</t>
  </si>
  <si>
    <t>Action_owner</t>
  </si>
  <si>
    <t>Responsable de l'action</t>
  </si>
  <si>
    <t>Responsable Fraude Santé</t>
  </si>
  <si>
    <t>Echeance_action</t>
  </si>
  <si>
    <t>Date cible</t>
  </si>
  <si>
    <t>Date</t>
  </si>
  <si>
    <t>2026-07-15</t>
  </si>
  <si>
    <t>Statut_action</t>
  </si>
  <si>
    <t>Statut de mise en œuvre</t>
  </si>
  <si>
    <t>En cours</t>
  </si>
  <si>
    <t>Derniere_revue</t>
  </si>
  <si>
    <t>Date de dernière revue</t>
  </si>
  <si>
    <t>2026-02-15</t>
  </si>
  <si>
    <t>Frequence_revue</t>
  </si>
  <si>
    <t>Fréquence de revue</t>
  </si>
  <si>
    <t>Trimestrielle</t>
  </si>
  <si>
    <t>Incidents_12m</t>
  </si>
  <si>
    <t>Nombre d'incidents sur 12 mois</t>
  </si>
  <si>
    <t>3</t>
  </si>
  <si>
    <t>Pertes_12m_EUR</t>
  </si>
  <si>
    <t>Pertes synthétiques sur 12 mois</t>
  </si>
  <si>
    <t>Monétaire</t>
  </si>
  <si>
    <t>250000</t>
  </si>
  <si>
    <t>Population_affectee_potentielle</t>
  </si>
  <si>
    <t>Volume théorique d'assurés / dossiers impactables</t>
  </si>
  <si>
    <t>4800</t>
  </si>
  <si>
    <t>Reference_reglementaire</t>
  </si>
  <si>
    <t>Référence synthétique de rattachement</t>
  </si>
  <si>
    <t>NOEMIE / engagements partenaires / traçabilité</t>
  </si>
  <si>
    <t>Justification_sectorielle</t>
  </si>
  <si>
    <t>Pourquoi ce risque est crédible dans l'assurance santé</t>
  </si>
  <si>
    <t>Données de santé sensibles, flux NOEMIE...</t>
  </si>
  <si>
    <t>Commentaire_dataset</t>
  </si>
  <si>
    <t>Mention sur le caractère fictif</t>
  </si>
  <si>
    <t>Risque synthétique fictif...</t>
  </si>
  <si>
    <t>Organisme</t>
  </si>
  <si>
    <t>Sujet</t>
  </si>
  <si>
    <t>URL</t>
  </si>
  <si>
    <t>Utilisation dans le dataset</t>
  </si>
  <si>
    <t>Solvabilité II</t>
  </si>
  <si>
    <t>https://acpr.banque-france.fr/fr/reglementation/focus-sur-la-reglementation/assurance/solvabilite-ii</t>
  </si>
  <si>
    <t>Cadre prudentiel global des assureurs (pilier 1/2/3).</t>
  </si>
  <si>
    <t>Pilier 2 : gouvernance</t>
  </si>
  <si>
    <t>https://acpr.banque-france.fr/fr/reglementation/focus-sur-la-reglementation/assurance/solvabilite-ii/pilier-2-la-gouvernance</t>
  </si>
  <si>
    <t>Gouvernance, gestion des risques et contrôle interne.</t>
  </si>
  <si>
    <t>Pilier 2 : ORSA</t>
  </si>
  <si>
    <t>https://acpr.banque-france.fr/fr/reglementation/focus-sur-la-reglementation/assurance/solvabilite-ii/pilier-2-levaluation-interne-des-risques-et-de-la-solvabilite</t>
  </si>
  <si>
    <t>Processus ORSA et pilotage de solvabilité.</t>
  </si>
  <si>
    <t>EIOPA</t>
  </si>
  <si>
    <t>Solvency II overview</t>
  </si>
  <si>
    <t>https://www.eiopa.europa.eu/browse/regulation-and-policy/solvency-ii_en</t>
  </si>
  <si>
    <t>Référentiel européen prudentiel.</t>
  </si>
  <si>
    <t>System of governance</t>
  </si>
  <si>
    <t>https://www.eiopa.europa.eu/rulebook/solvency-ii-single-rulebook/article-2633_en</t>
  </si>
  <si>
    <t>Exigences détaillées sur système de gouvernance, conformité et audit interne.</t>
  </si>
  <si>
    <t>Données de santé - formalités</t>
  </si>
  <si>
    <t>https://www.cnil.fr/fr/quelles-formalites-pour-les-traitements-de-donnees-de-sante</t>
  </si>
  <si>
    <t>Traitement des données de santé : principes et exceptions.</t>
  </si>
  <si>
    <t>RGPD appliqué au secteur de la santé</t>
  </si>
  <si>
    <t>https://www.cnil.fr/fr/le-rgpd-applique-au-secteur-de-la-sante</t>
  </si>
  <si>
    <t>Enjeux de protection des données dans la santé.</t>
  </si>
  <si>
    <t>Secteur de l’assurance</t>
  </si>
  <si>
    <t>https://www.cnil.fr/fr/assurance</t>
  </si>
  <si>
    <t>Spécificités assurance et données personnelles.</t>
  </si>
  <si>
    <t>Analyse juridique OCAM / données de santé</t>
  </si>
  <si>
    <t>https://www.cnil.fr/sites/cnil/files/atoms/files/analyse_juridique_adressee_aux_organismes_de_complementaire_sante.pdf</t>
  </si>
  <si>
    <t>Contraintes autour des justificatifs et remboursements OCAM.</t>
  </si>
  <si>
    <t>https://acpr.banque-france.fr/la-directive-distribution-en-assurance-dda</t>
  </si>
  <si>
    <t>Distribution d’assurance, gouvernance produit, devoir de conseil.</t>
  </si>
  <si>
    <t>Recommandation DDA</t>
  </si>
  <si>
    <t>https://acpr.banque-france.fr/fr/publications-et-statistiques/publications/lacpr-emet-une-recommandation-sur-la-mise-en-oeuvre-de-certaines-dispositions-issues-de-la-directive</t>
  </si>
  <si>
    <t>Application opérationnelle de la DDA.</t>
  </si>
  <si>
    <t>Contrôle interne</t>
  </si>
  <si>
    <t>https://acpr.banque-france.fr/fr/professionnels/lacpr-vous-accompagne/parcours-fintech/contenus-pedagogiques/controle-interne</t>
  </si>
  <si>
    <t>Attentes de contrôle interne applicables aux organismes supervisés.</t>
  </si>
  <si>
    <t>Norme NOEMIE</t>
  </si>
  <si>
    <t>https://www.ameli.fr/assure/documentation-technique/norme-noemie</t>
  </si>
  <si>
    <t>Flux de télétransmission entre assurance maladie obligatoire et complémentaire.</t>
  </si>
  <si>
    <t>Le retour NOEMIE</t>
  </si>
  <si>
    <t>https://www.ameli.fr/professionnel-de-la-lpplatm/exercice-professionnel/facturation/teletransmission-retour-noemie/retour-noemie</t>
  </si>
  <si>
    <t>Retours et rejets NOEMIE.</t>
  </si>
  <si>
    <t>Souscription &amp; Pilotage Produit</t>
  </si>
  <si>
    <t>Tarification et pilotage technique santé</t>
  </si>
  <si>
    <t>Construction des barèmes</t>
  </si>
  <si>
    <t>Directeur Technique Santé</t>
  </si>
  <si>
    <t>Directeur Technique / Actuariat</t>
  </si>
  <si>
    <t>Responsable Actuariat Santé</t>
  </si>
  <si>
    <t>Opérationnel / Qualité</t>
  </si>
  <si>
    <t>Contrôle interne / Qualité de service</t>
  </si>
  <si>
    <t>Erreur d'exécution ou de paramétrage sur Construction des barèmes</t>
  </si>
  <si>
    <t>Hausse des dépenses optiques/dentaires non intégrée à temps dans le barème et dérive du ratio technique.</t>
  </si>
  <si>
    <t>Procédure incomplète, charge mal calibrée, contrôle de 1er niveau insuffisant ou règle métier mal paramétrée</t>
  </si>
  <si>
    <t>Retards, retraitements, mauvaise qualité de service, hausse du coût de gestion et insatisfaction adhérents/entreprises</t>
  </si>
  <si>
    <t>Taux d'anomalies opérationnelles sur Construction des barèmes</t>
  </si>
  <si>
    <t>%</t>
  </si>
  <si>
    <t>Double validation, check-list opératoire, rapprochement quotidien et contrôle de cohérence</t>
  </si>
  <si>
    <t>Réduire</t>
  </si>
  <si>
    <t>Formaliser les points de contrôle critiques, renforcer les rapprochements et fiabiliser les règles métier sur construction des barèmes.</t>
  </si>
  <si>
    <t>À lancer</t>
  </si>
  <si>
    <t>Semestrielle</t>
  </si>
  <si>
    <t>Les risques portent sur l'équilibre technique, l'évolution des dépenses de santé, l'adéquation des garanties et l'effet sur la solvabilité. Le risque est fréquent dans les chaînes de gestion volumétriques (cotisations, prestations, flux).</t>
  </si>
  <si>
    <t>Risque synthétique fictif mais construit pour ressembler à un registre RCSA d'un OCAM / assureur santé français.</t>
  </si>
  <si>
    <t>RSH-002</t>
  </si>
  <si>
    <t>Conformité / Réglementaire</t>
  </si>
  <si>
    <t>ACPR / gouvernance produit / information tarifaire</t>
  </si>
  <si>
    <t>Non-conformité réglementaire ou contractuelle dans Construction des barèmes</t>
  </si>
  <si>
    <t>Veille réglementaire insuffisante, interprétation partielle des textes, traçabilité insuffisante ou preuves de contrôle manquantes</t>
  </si>
  <si>
    <t>Sanctions, remédiation, litiges, injonctions, atteinte réputationnelle et augmentation du risque superviseur</t>
  </si>
  <si>
    <t>Nombre d'exceptions de conformité sur Construction des barèmes</t>
  </si>
  <si>
    <t>nb</t>
  </si>
  <si>
    <t>Revue de conformité, validation de 2e niveau, piste d'audit et contrôle documentaire</t>
  </si>
  <si>
    <t>Détectif</t>
  </si>
  <si>
    <t>Mettre à jour la procédure, documenter les preuves de conformité et intégrer construction des barèmes au plan de contrôle permanent.</t>
  </si>
  <si>
    <t>Sous contrôle</t>
  </si>
  <si>
    <t>Les risques portent sur l'équilibre technique, l'évolution des dépenses de santé, l'adéquation des garanties et l'effet sur la solvabilité. Le secteur est fortement encadré par l'ACPR, la DDA, le RGPD et les obligations contractuelles.</t>
  </si>
  <si>
    <t>RSH-003</t>
  </si>
  <si>
    <t>Altération, indisponibilité ou accès indu aux données et outils supportant Construction des barèmes</t>
  </si>
  <si>
    <t>Faille de sécurité, habilitations excessives, supervision insuffisante, dette technique ou défaut de reprise</t>
  </si>
  <si>
    <t>Interruption d'activité, fuite de données sensibles, non-traitement des demandes et coûts de remédiation</t>
  </si>
  <si>
    <t>Indisponibilité / incidents sécurité liés à Construction des barèmes</t>
  </si>
  <si>
    <t>Gestion des habilitations, sauvegardes, journalisation, supervision et tests PRA/PCA</t>
  </si>
  <si>
    <t>Mitiger</t>
  </si>
  <si>
    <t>Réduire les habilitations, tester la reprise et renforcer la supervision / journalisation sur construction des barèmes.</t>
  </si>
  <si>
    <t>Clôturé</t>
  </si>
  <si>
    <t>Les risques portent sur l'équilibre technique, l'évolution des dépenses de santé, l'adéquation des garanties et l'effet sur la solvabilité. Les organismes manipulent des données de santé sensibles et dépendent fortement des applications cœur et des flux NOEMIE.</t>
  </si>
  <si>
    <t>RSH-004</t>
  </si>
  <si>
    <t>Fraude / Financier / Partenaire</t>
  </si>
  <si>
    <t>Fraude / contrôle permanent / gestion déléguée</t>
  </si>
  <si>
    <t>Sous-tarification, mauvaise anticipation de la dérive médicale ou anti-sélection sur Construction des barèmes</t>
  </si>
  <si>
    <t>Séparation des tâches insuffisante, détection tardive, données non fiabilisées, contrôles partenaires incomplets ou arbitrages tarifaires inadaptés</t>
  </si>
  <si>
    <t>Dégradation du ratio combiné santé, baisse de rentabilité, pression sur SCR et besoin de repricing</t>
  </si>
  <si>
    <t>Montant ou cas atypiques détectés sur Construction des barèmes</t>
  </si>
  <si>
    <t>Scénarios d'alerte, séparation des tâches, contrôles anti-fraude et revue analytique</t>
  </si>
  <si>
    <t>Mixte</t>
  </si>
  <si>
    <t>Forte</t>
  </si>
  <si>
    <t>Accepter</t>
  </si>
  <si>
    <t>Renforcer les scénarios de détection, la revue analytique et les contrôles ciblés sur construction des barèmes.</t>
  </si>
  <si>
    <t>Les risques portent sur l'équilibre technique, l'évolution des dépenses de santé, l'adéquation des garanties et l'effet sur la solvabilité. Le risque est alimenté par les tiers, les flux financiers, l'anti-sélection et la fraude aux prestations.</t>
  </si>
  <si>
    <t>RSH-005</t>
  </si>
  <si>
    <t>Révision tarifaire annuelle</t>
  </si>
  <si>
    <t>Responsable Pilotage Technique</t>
  </si>
  <si>
    <t>Erreur d'exécution ou de paramétrage sur Révision tarifaire annuelle</t>
  </si>
  <si>
    <t>Taux d'anomalies opérationnelles sur Révision tarifaire annuelle</t>
  </si>
  <si>
    <t>Formaliser les points de contrôle critiques, renforcer les rapprochements et fiabiliser les règles métier sur révision tarifaire annuelle.</t>
  </si>
  <si>
    <t>RSH-006</t>
  </si>
  <si>
    <t>Non-conformité réglementaire ou contractuelle dans Révision tarifaire annuelle</t>
  </si>
  <si>
    <t>Nombre d'exceptions de conformité sur Révision tarifaire annuelle</t>
  </si>
  <si>
    <t>Mettre à jour la procédure, documenter les preuves de conformité et intégrer révision tarifaire annuelle au plan de contrôle permanent.</t>
  </si>
  <si>
    <t>RSH-007</t>
  </si>
  <si>
    <t>Altération, indisponibilité ou accès indu aux données et outils supportant Révision tarifaire annuelle</t>
  </si>
  <si>
    <t>Indisponibilité / incidents sécurité liés à Révision tarifaire annuelle</t>
  </si>
  <si>
    <t>Réduire les habilitations, tester la reprise et renforcer la supervision / journalisation sur révision tarifaire annuelle.</t>
  </si>
  <si>
    <t>RSH-008</t>
  </si>
  <si>
    <t>Sous-tarification, mauvaise anticipation de la dérive médicale ou anti-sélection sur Révision tarifaire annuelle</t>
  </si>
  <si>
    <t>Montant ou cas atypiques détectés sur Révision tarifaire annuelle</t>
  </si>
  <si>
    <t>Renforcer les scénarios de détection, la revue analytique et les contrôles ciblés sur révision tarifaire annuelle.</t>
  </si>
  <si>
    <t>RSH-009</t>
  </si>
  <si>
    <t>Suivi du ratio prestations/cotisations</t>
  </si>
  <si>
    <t>Responsable Contrôle Technique</t>
  </si>
  <si>
    <t>Erreur d'exécution ou de paramétrage sur Suivi du ratio prestations/cotisations</t>
  </si>
  <si>
    <t>Taux d'anomalies opérationnelles sur Suivi du ratio prestations/cotisations</t>
  </si>
  <si>
    <t>Formaliser les points de contrôle critiques, renforcer les rapprochements et fiabiliser les règles métier sur suivi du ratio prestations/cotisations.</t>
  </si>
  <si>
    <t>RSH-010</t>
  </si>
  <si>
    <t>Non-conformité réglementaire ou contractuelle dans Suivi du ratio prestations/cotisations</t>
  </si>
  <si>
    <t>Nombre d'exceptions de conformité sur Suivi du ratio prestations/cotisations</t>
  </si>
  <si>
    <t>Mettre à jour la procédure, documenter les preuves de conformité et intégrer suivi du ratio prestations/cotisations au plan de contrôle permanent.</t>
  </si>
  <si>
    <t>RSH-011</t>
  </si>
  <si>
    <t>Altération, indisponibilité ou accès indu aux données et outils supportant Suivi du ratio prestations/cotisations</t>
  </si>
  <si>
    <t>Indisponibilité / incidents sécurité liés à Suivi du ratio prestations/cotisations</t>
  </si>
  <si>
    <t>Réduire les habilitations, tester la reprise et renforcer la supervision / journalisation sur suivi du ratio prestations/cotisations.</t>
  </si>
  <si>
    <t>RSH-012</t>
  </si>
  <si>
    <t>Sous-tarification, mauvaise anticipation de la dérive médicale ou anti-sélection sur Suivi du ratio prestations/cotisations</t>
  </si>
  <si>
    <t>Montant ou cas atypiques détectés sur Suivi du ratio prestations/cotisations</t>
  </si>
  <si>
    <t>Renforcer les scénarios de détection, la revue analytique et les contrôles ciblés sur suivi du ratio prestations/cotisations.</t>
  </si>
  <si>
    <t>RSH-013</t>
  </si>
  <si>
    <t>Souscription individuelle et collective</t>
  </si>
  <si>
    <t>Sélection et affiliation des assurés</t>
  </si>
  <si>
    <t>Directeur Souscription Santé</t>
  </si>
  <si>
    <t>Directeur Souscription</t>
  </si>
  <si>
    <t>Responsable Souscription Individuelle</t>
  </si>
  <si>
    <t>Erreur d'exécution ou de paramétrage sur Sélection et affiliation des assurés</t>
  </si>
  <si>
    <t>Affiliation tardive ou paramétrage erroné d'une garantie entreprise entraînant prise en charge incorrecte.</t>
  </si>
  <si>
    <t>Taux d'anomalies opérationnelles sur Sélection et affiliation des assurés</t>
  </si>
  <si>
    <t>Formaliser les points de contrôle critiques, renforcer les rapprochements et fiabiliser les règles métier sur sélection et affiliation des assurés.</t>
  </si>
  <si>
    <t>Les risques concernent la sélection, l'affiliation, la correcte mise en vigueur et l'anti-sélection. Le risque est fréquent dans les chaînes de gestion volumétriques (cotisations, prestations, flux).</t>
  </si>
  <si>
    <t>RSH-014</t>
  </si>
  <si>
    <t>DDA / ACPR / obligations contractuelles</t>
  </si>
  <si>
    <t>Non-conformité réglementaire ou contractuelle dans Sélection et affiliation des assurés</t>
  </si>
  <si>
    <t>Nombre d'exceptions de conformité sur Sélection et affiliation des assurés</t>
  </si>
  <si>
    <t>Mettre à jour la procédure, documenter les preuves de conformité et intégrer sélection et affiliation des assurés au plan de contrôle permanent.</t>
  </si>
  <si>
    <t>Les risques concernent la sélection, l'affiliation, la correcte mise en vigueur et l'anti-sélection. Le secteur est fortement encadré par l'ACPR, la DDA, le RGPD et les obligations contractuelles.</t>
  </si>
  <si>
    <t>RSH-015</t>
  </si>
  <si>
    <t>Altération, indisponibilité ou accès indu aux données et outils supportant Sélection et affiliation des assurés</t>
  </si>
  <si>
    <t>Indisponibilité / incidents sécurité liés à Sélection et affiliation des assurés</t>
  </si>
  <si>
    <t>Réduire les habilitations, tester la reprise et renforcer la supervision / journalisation sur sélection et affiliation des assurés.</t>
  </si>
  <si>
    <t>Les risques concernent la sélection, l'affiliation, la correcte mise en vigueur et l'anti-sélection. Les organismes manipulent des données de santé sensibles et dépendent fortement des applications cœur et des flux NOEMIE.</t>
  </si>
  <si>
    <t>RSH-016</t>
  </si>
  <si>
    <t>Anti-sélection, affiliation irrégulière ou erreur de mise en vigueur liée à Sélection et affiliation des assurés</t>
  </si>
  <si>
    <t>Admission de risques non conformes, contentieux et dérive du portefeuille</t>
  </si>
  <si>
    <t>Montant ou cas atypiques détectés sur Sélection et affiliation des assurés</t>
  </si>
  <si>
    <t>Renforcer les scénarios de détection, la revue analytique et les contrôles ciblés sur sélection et affiliation des assurés.</t>
  </si>
  <si>
    <t>Les risques concernent la sélection, l'affiliation, la correcte mise en vigueur et l'anti-sélection. Le risque est alimenté par les tiers, les flux financiers, l'anti-sélection et la fraude aux prestations.</t>
  </si>
  <si>
    <t>RSH-017</t>
  </si>
  <si>
    <t>Mise en gestion des contrats collectifs</t>
  </si>
  <si>
    <t>Responsable Souscription Collective</t>
  </si>
  <si>
    <t>Erreur d'exécution ou de paramétrage sur Mise en gestion des contrats collectifs</t>
  </si>
  <si>
    <t>Taux d'anomalies opérationnelles sur Mise en gestion des contrats collectifs</t>
  </si>
  <si>
    <t>Formaliser les points de contrôle critiques, renforcer les rapprochements et fiabiliser les règles métier sur mise en gestion des contrats collectifs.</t>
  </si>
  <si>
    <t>RSH-018</t>
  </si>
  <si>
    <t>Non-conformité réglementaire ou contractuelle dans Mise en gestion des contrats collectifs</t>
  </si>
  <si>
    <t>Nombre d'exceptions de conformité sur Mise en gestion des contrats collectifs</t>
  </si>
  <si>
    <t>Mettre à jour la procédure, documenter les preuves de conformité et intégrer mise en gestion des contrats collectifs au plan de contrôle permanent.</t>
  </si>
  <si>
    <t>RSH-019</t>
  </si>
  <si>
    <t>Altération, indisponibilité ou accès indu aux données et outils supportant Mise en gestion des contrats collectifs</t>
  </si>
  <si>
    <t>Indisponibilité / incidents sécurité liés à Mise en gestion des contrats collectifs</t>
  </si>
  <si>
    <t>Réduire les habilitations, tester la reprise et renforcer la supervision / journalisation sur mise en gestion des contrats collectifs.</t>
  </si>
  <si>
    <t>RSH-020</t>
  </si>
  <si>
    <t>Anti-sélection, affiliation irrégulière ou erreur de mise en vigueur liée à Mise en gestion des contrats collectifs</t>
  </si>
  <si>
    <t>Montant ou cas atypiques détectés sur Mise en gestion des contrats collectifs</t>
  </si>
  <si>
    <t>Renforcer les scénarios de détection, la revue analytique et les contrôles ciblés sur mise en gestion des contrats collectifs.</t>
  </si>
  <si>
    <t>RSH-021</t>
  </si>
  <si>
    <t>Paramétrage des garanties et options</t>
  </si>
  <si>
    <t>Responsable Back-office Souscription</t>
  </si>
  <si>
    <t>Erreur d'exécution ou de paramétrage sur Paramétrage des garanties et options</t>
  </si>
  <si>
    <t>Taux d'anomalies opérationnelles sur Paramétrage des garanties et options</t>
  </si>
  <si>
    <t>Formaliser les points de contrôle critiques, renforcer les rapprochements et fiabiliser les règles métier sur paramétrage des garanties et options.</t>
  </si>
  <si>
    <t>RSH-022</t>
  </si>
  <si>
    <t>Non-conformité réglementaire ou contractuelle dans Paramétrage des garanties et options</t>
  </si>
  <si>
    <t>Nombre d'exceptions de conformité sur Paramétrage des garanties et options</t>
  </si>
  <si>
    <t>Mettre à jour la procédure, documenter les preuves de conformité et intégrer paramétrage des garanties et options au plan de contrôle permanent.</t>
  </si>
  <si>
    <t>RSH-023</t>
  </si>
  <si>
    <t>Altération, indisponibilité ou accès indu aux données et outils supportant Paramétrage des garanties et options</t>
  </si>
  <si>
    <t>Indisponibilité / incidents sécurité liés à Paramétrage des garanties et options</t>
  </si>
  <si>
    <t>Réduire les habilitations, tester la reprise et renforcer la supervision / journalisation sur paramétrage des garanties et options.</t>
  </si>
  <si>
    <t>RSH-024</t>
  </si>
  <si>
    <t>Anti-sélection, affiliation irrégulière ou erreur de mise en vigueur liée à Paramétrage des garanties et options</t>
  </si>
  <si>
    <t>Montant ou cas atypiques détectés sur Paramétrage des garanties et options</t>
  </si>
  <si>
    <t>Renforcer les scénarios de détection, la revue analytique et les contrôles ciblés sur paramétrage des garanties et options.</t>
  </si>
  <si>
    <t>RSH-025</t>
  </si>
  <si>
    <t>Instruction des demandes de remboursement</t>
  </si>
  <si>
    <t>Responsable Liquidation</t>
  </si>
  <si>
    <t>Erreur d'exécution ou de paramétrage sur Instruction des demandes de remboursement</t>
  </si>
  <si>
    <t>Factures non conformes liquidées automatiquement avec sur-remboursement ou retard massif de traitement.</t>
  </si>
  <si>
    <t>Taux d'anomalies opérationnelles sur Instruction des demandes de remboursement</t>
  </si>
  <si>
    <t>Formaliser les points de contrôle critiques, renforcer les rapprochements et fiabiliser les règles métier sur instruction des demandes de remboursement.</t>
  </si>
  <si>
    <t>Les risques portent sur la liquidation, les indus, les doublons, la fraude et les retards de remboursement. Le risque est fréquent dans les chaînes de gestion volumétriques (cotisations, prestations, flux).</t>
  </si>
  <si>
    <t>RSH-026</t>
  </si>
  <si>
    <t>Non-conformité réglementaire ou contractuelle dans Instruction des demandes de remboursement</t>
  </si>
  <si>
    <t>Nombre d'exceptions de conformité sur Instruction des demandes de remboursement</t>
  </si>
  <si>
    <t>Mettre à jour la procédure, documenter les preuves de conformité et intégrer instruction des demandes de remboursement au plan de contrôle permanent.</t>
  </si>
  <si>
    <t>Les risques portent sur la liquidation, les indus, les doublons, la fraude et les retards de remboursement. Le secteur est fortement encadré par l'ACPR, la DDA, le RGPD et les obligations contractuelles.</t>
  </si>
  <si>
    <t>RSH-027</t>
  </si>
  <si>
    <t>Altération, indisponibilité ou accès indu aux données et outils supportant Instruction des demandes de remboursement</t>
  </si>
  <si>
    <t>Indisponibilité / incidents sécurité liés à Instruction des demandes de remboursement</t>
  </si>
  <si>
    <t>Réduire les habilitations, tester la reprise et renforcer la supervision / journalisation sur instruction des demandes de remboursement.</t>
  </si>
  <si>
    <t>Les risques portent sur la liquidation, les indus, les doublons, la fraude et les retards de remboursement. Les organismes manipulent des données de santé sensibles et dépendent fortement des applications cœur et des flux NOEMIE.</t>
  </si>
  <si>
    <t>RSH-028</t>
  </si>
  <si>
    <t>Indu, double paiement, fraude assuré/professionnel ou sur-remboursement sur Instruction des demandes de remboursement</t>
  </si>
  <si>
    <t>Pertes financières, hausse des indus, réclamations et défaut de maîtrise des prestations</t>
  </si>
  <si>
    <t>Montant ou cas atypiques détectés sur Instruction des demandes de remboursement</t>
  </si>
  <si>
    <t>Renforcer les scénarios de détection, la revue analytique et les contrôles ciblés sur instruction des demandes de remboursement.</t>
  </si>
  <si>
    <t>Les risques portent sur la liquidation, les indus, les doublons, la fraude et les retards de remboursement. Le risque est alimenté par les tiers, les flux financiers, l'anti-sélection et la fraude aux prestations.</t>
  </si>
  <si>
    <t>RSH-029</t>
  </si>
  <si>
    <t>Contrôle des rejets et indus</t>
  </si>
  <si>
    <t>Responsable Contrôle Prestations</t>
  </si>
  <si>
    <t>Erreur d'exécution ou de paramétrage sur Contrôle des rejets et indus</t>
  </si>
  <si>
    <t>Taux d'anomalies opérationnelles sur Contrôle des rejets et indus</t>
  </si>
  <si>
    <t>Formaliser les points de contrôle critiques, renforcer les rapprochements et fiabiliser les règles métier sur contrôle des rejets et indus.</t>
  </si>
  <si>
    <t>RSH-030</t>
  </si>
  <si>
    <t>Non-conformité réglementaire ou contractuelle dans Contrôle des rejets et indus</t>
  </si>
  <si>
    <t>Nombre d'exceptions de conformité sur Contrôle des rejets et indus</t>
  </si>
  <si>
    <t>Mettre à jour la procédure, documenter les preuves de conformité et intégrer contrôle des rejets et indus au plan de contrôle permanent.</t>
  </si>
  <si>
    <t>RSH-031</t>
  </si>
  <si>
    <t>Altération, indisponibilité ou accès indu aux données et outils supportant Contrôle des rejets et indus</t>
  </si>
  <si>
    <t>Indisponibilité / incidents sécurité liés à Contrôle des rejets et indus</t>
  </si>
  <si>
    <t>Réduire les habilitations, tester la reprise et renforcer la supervision / journalisation sur contrôle des rejets et indus.</t>
  </si>
  <si>
    <t>RSH-032</t>
  </si>
  <si>
    <t>Indu, double paiement, fraude assuré/professionnel ou sur-remboursement sur Contrôle des rejets et indus</t>
  </si>
  <si>
    <t>Montant ou cas atypiques détectés sur Contrôle des rejets et indus</t>
  </si>
  <si>
    <t>Renforcer les scénarios de détection, la revue analytique et les contrôles ciblés sur contrôle des rejets et indus.</t>
  </si>
  <si>
    <t>RSH-033</t>
  </si>
  <si>
    <t>Erreur d'exécution ou de paramétrage sur Paiement des prestations</t>
  </si>
  <si>
    <t>Taux d'anomalies opérationnelles sur Paiement des prestations</t>
  </si>
  <si>
    <t>Formaliser les points de contrôle critiques, renforcer les rapprochements et fiabiliser les règles métier sur paiement des prestations.</t>
  </si>
  <si>
    <t>RSH-034</t>
  </si>
  <si>
    <t>Non-conformité réglementaire ou contractuelle dans Paiement des prestations</t>
  </si>
  <si>
    <t>Nombre d'exceptions de conformité sur Paiement des prestations</t>
  </si>
  <si>
    <t>Mettre à jour la procédure, documenter les preuves de conformité et intégrer paiement des prestations au plan de contrôle permanent.</t>
  </si>
  <si>
    <t>RSH-035</t>
  </si>
  <si>
    <t>Altération, indisponibilité ou accès indu aux données et outils supportant Paiement des prestations</t>
  </si>
  <si>
    <t>Indisponibilité / incidents sécurité liés à Paiement des prestations</t>
  </si>
  <si>
    <t>Réduire les habilitations, tester la reprise et renforcer la supervision / journalisation sur paiement des prestations.</t>
  </si>
  <si>
    <t>RSH-036</t>
  </si>
  <si>
    <t>Indu, double paiement, fraude assuré/professionnel ou sur-remboursement sur Paiement des prestations</t>
  </si>
  <si>
    <t>Montant ou cas atypiques détectés sur Paiement des prestations</t>
  </si>
  <si>
    <t>Renforcer les scénarios de détection, la revue analytique et les contrôles ciblés sur paiement des prestations.</t>
  </si>
  <si>
    <t>RSH-037</t>
  </si>
  <si>
    <t>Relation adhérents et réclamations</t>
  </si>
  <si>
    <t>Traitement des demandes multicanales</t>
  </si>
  <si>
    <t>Directeur Relation Clients</t>
  </si>
  <si>
    <t>Responsable Service Client</t>
  </si>
  <si>
    <t>Erreur d'exécution ou de paramétrage sur Traitement des demandes multicanales</t>
  </si>
  <si>
    <t>Réclamations sensibles mal orientées, information inexacte donnée à l'adhérent et escalade médiateur/ACPR.</t>
  </si>
  <si>
    <t>Taux d'anomalies opérationnelles sur Traitement des demandes multicanales</t>
  </si>
  <si>
    <t>Formaliser les points de contrôle critiques, renforcer les rapprochements et fiabiliser les règles métier sur traitement des demandes multicanales.</t>
  </si>
  <si>
    <t>Les risques touchent la qualité de service, la conformité de l'information et l'escalade des réclamations. Le risque est fréquent dans les chaînes de gestion volumétriques (cotisations, prestations, flux).</t>
  </si>
  <si>
    <t>RSH-038</t>
  </si>
  <si>
    <t>Non-conformité réglementaire ou contractuelle dans Traitement des demandes multicanales</t>
  </si>
  <si>
    <t>Nombre d'exceptions de conformité sur Traitement des demandes multicanales</t>
  </si>
  <si>
    <t>Mettre à jour la procédure, documenter les preuves de conformité et intégrer traitement des demandes multicanales au plan de contrôle permanent.</t>
  </si>
  <si>
    <t>Les risques touchent la qualité de service, la conformité de l'information et l'escalade des réclamations. Le secteur est fortement encadré par l'ACPR, la DDA, le RGPD et les obligations contractuelles.</t>
  </si>
  <si>
    <t>RSH-039</t>
  </si>
  <si>
    <t>Altération, indisponibilité ou accès indu aux données et outils supportant Traitement des demandes multicanales</t>
  </si>
  <si>
    <t>Indisponibilité / incidents sécurité liés à Traitement des demandes multicanales</t>
  </si>
  <si>
    <t>Réduire les habilitations, tester la reprise et renforcer la supervision / journalisation sur traitement des demandes multicanales.</t>
  </si>
  <si>
    <t>Les risques touchent la qualité de service, la conformité de l'information et l'escalade des réclamations. Les organismes manipulent des données de santé sensibles et dépendent fortement des applications cœur et des flux NOEMIE.</t>
  </si>
  <si>
    <t>RSH-040</t>
  </si>
  <si>
    <t>Fraude, surfacturation, anti-sélection ou perte financière liée à Traitement des demandes multicanales</t>
  </si>
  <si>
    <t>Pertes financières, dérive du ratio technique, litiges partenaires, hausse des provisions et fragilisation de la marge</t>
  </si>
  <si>
    <t>Montant ou cas atypiques détectés sur Traitement des demandes multicanales</t>
  </si>
  <si>
    <t>Renforcer les scénarios de détection, la revue analytique et les contrôles ciblés sur traitement des demandes multicanales.</t>
  </si>
  <si>
    <t>Les risques touchent la qualité de service, la conformité de l'information et l'escalade des réclamations. Le risque est alimenté par les tiers, les flux financiers, l'anti-sélection et la fraude aux prestations.</t>
  </si>
  <si>
    <t>RSH-041</t>
  </si>
  <si>
    <t>Gestion des réclamations</t>
  </si>
  <si>
    <t>Responsable Qualité de Service</t>
  </si>
  <si>
    <t>Erreur d'exécution ou de paramétrage sur Gestion des réclamations</t>
  </si>
  <si>
    <t>Taux d'anomalies opérationnelles sur Gestion des réclamations</t>
  </si>
  <si>
    <t>Formaliser les points de contrôle critiques, renforcer les rapprochements et fiabiliser les règles métier sur gestion des réclamations.</t>
  </si>
  <si>
    <t>RSH-042</t>
  </si>
  <si>
    <t>Non-conformité réglementaire ou contractuelle dans Gestion des réclamations</t>
  </si>
  <si>
    <t>Nombre d'exceptions de conformité sur Gestion des réclamations</t>
  </si>
  <si>
    <t>Mettre à jour la procédure, documenter les preuves de conformité et intégrer gestion des réclamations au plan de contrôle permanent.</t>
  </si>
  <si>
    <t>RSH-043</t>
  </si>
  <si>
    <t>Altération, indisponibilité ou accès indu aux données et outils supportant Gestion des réclamations</t>
  </si>
  <si>
    <t>Indisponibilité / incidents sécurité liés à Gestion des réclamations</t>
  </si>
  <si>
    <t>Réduire les habilitations, tester la reprise et renforcer la supervision / journalisation sur gestion des réclamations.</t>
  </si>
  <si>
    <t>RSH-044</t>
  </si>
  <si>
    <t>Fraude, surfacturation, anti-sélection ou perte financière liée à Gestion des réclamations</t>
  </si>
  <si>
    <t>Montant ou cas atypiques détectés sur Gestion des réclamations</t>
  </si>
  <si>
    <t>Renforcer les scénarios de détection, la revue analytique et les contrôles ciblés sur gestion des réclamations.</t>
  </si>
  <si>
    <t>RSH-045</t>
  </si>
  <si>
    <t>Réseau de soins &amp; Partenaires</t>
  </si>
  <si>
    <t>Tiers payant et flux NOEMIE</t>
  </si>
  <si>
    <t>Activation de la télétransmission</t>
  </si>
  <si>
    <t>Directeur Flux et Tiers Payant</t>
  </si>
  <si>
    <t>Directeur Opérations Partenaires</t>
  </si>
  <si>
    <t>Responsable Flux NOEMIE</t>
  </si>
  <si>
    <t>Erreur d'exécution ou de paramétrage sur Activation de la télétransmission</t>
  </si>
  <si>
    <t>Rupture de télétransmission ou rejet NOEMIE entraînant blocage de remboursements et saturation du back-office.</t>
  </si>
  <si>
    <t>Taux d'anomalies opérationnelles sur Activation de la télétransmission</t>
  </si>
  <si>
    <t>Formaliser les points de contrôle critiques, renforcer les rapprochements et fiabiliser les règles métier sur activation de la télétransmission.</t>
  </si>
  <si>
    <t>Les risques portent sur les flux techniques, les rejets, l'exactitude des paiements et la continuité de service avec les réseaux et l'AMO. Le risque est fréquent dans les chaînes de gestion volumétriques (cotisations, prestations, flux).</t>
  </si>
  <si>
    <t>RSH-046</t>
  </si>
  <si>
    <t>Non-conformité réglementaire ou contractuelle dans Activation de la télétransmission</t>
  </si>
  <si>
    <t>Nombre d'exceptions de conformité sur Activation de la télétransmission</t>
  </si>
  <si>
    <t>Mettre à jour la procédure, documenter les preuves de conformité et intégrer activation de la télétransmission au plan de contrôle permanent.</t>
  </si>
  <si>
    <t>Les risques portent sur les flux techniques, les rejets, l'exactitude des paiements et la continuité de service avec les réseaux et l'AMO. Le secteur est fortement encadré par l'ACPR, la DDA, le RGPD et les obligations contractuelles.</t>
  </si>
  <si>
    <t>RSH-047</t>
  </si>
  <si>
    <t>Rupture de flux, rejet massif ou désynchronisation des données supportant Activation de la télétransmission</t>
  </si>
  <si>
    <t>Blocage des remboursements, multiplication des rejets NOEMIE, surcharge du back-office et insatisfaction des adhérents</t>
  </si>
  <si>
    <t>Indisponibilité / incidents sécurité liés à Activation de la télétransmission</t>
  </si>
  <si>
    <t>Réduire les habilitations, tester la reprise et renforcer la supervision / journalisation sur activation de la télétransmission.</t>
  </si>
  <si>
    <t>Les risques portent sur les flux techniques, les rejets, l'exactitude des paiements et la continuité de service avec les réseaux et l'AMO. Les organismes manipulent des données de santé sensibles et dépendent fortement des applications cœur et des flux NOEMIE.</t>
  </si>
  <si>
    <t>RSH-048</t>
  </si>
  <si>
    <t>Fraude, surfacturation, anti-sélection ou perte financière liée à Activation de la télétransmission</t>
  </si>
  <si>
    <t>Montant ou cas atypiques détectés sur Activation de la télétransmission</t>
  </si>
  <si>
    <t>Renforcer les scénarios de détection, la revue analytique et les contrôles ciblés sur activation de la télétransmission.</t>
  </si>
  <si>
    <t>Les risques portent sur les flux techniques, les rejets, l'exactitude des paiements et la continuité de service avec les réseaux et l'AMO. Le risque est alimenté par les tiers, les flux financiers, l'anti-sélection et la fraude aux prestations.</t>
  </si>
  <si>
    <t>RSH-049</t>
  </si>
  <si>
    <t>Gestion des rejets NOEMIE</t>
  </si>
  <si>
    <t>Responsable Supervision des Flux</t>
  </si>
  <si>
    <t>Erreur d'exécution ou de paramétrage sur Gestion des rejets NOEMIE</t>
  </si>
  <si>
    <t>Taux d'anomalies opérationnelles sur Gestion des rejets NOEMIE</t>
  </si>
  <si>
    <t>Formaliser les points de contrôle critiques, renforcer les rapprochements et fiabiliser les règles métier sur gestion des rejets noemie.</t>
  </si>
  <si>
    <t>RSH-050</t>
  </si>
  <si>
    <t>Non-conformité réglementaire ou contractuelle dans Gestion des rejets NOEMIE</t>
  </si>
  <si>
    <t>Nombre d'exceptions de conformité sur Gestion des rejets NOEMIE</t>
  </si>
  <si>
    <t>Mettre à jour la procédure, documenter les preuves de conformité et intégrer gestion des rejets noemie au plan de contrôle permanent.</t>
  </si>
  <si>
    <t>RSH-051</t>
  </si>
  <si>
    <t>Rupture de flux, rejet massif ou désynchronisation des données supportant Gestion des rejets NOEMIE</t>
  </si>
  <si>
    <t>Indisponibilité / incidents sécurité liés à Gestion des rejets NOEMIE</t>
  </si>
  <si>
    <t>Réduire les habilitations, tester la reprise et renforcer la supervision / journalisation sur gestion des rejets noemie.</t>
  </si>
  <si>
    <t>RSH-052</t>
  </si>
  <si>
    <t>Fraude, surfacturation, anti-sélection ou perte financière liée à Gestion des rejets NOEMIE</t>
  </si>
  <si>
    <t>Montant ou cas atypiques détectés sur Gestion des rejets NOEMIE</t>
  </si>
  <si>
    <t>Renforcer les scénarios de détection, la revue analytique et les contrôles ciblés sur gestion des rejets noemie.</t>
  </si>
  <si>
    <t>RSH-053</t>
  </si>
  <si>
    <t>Synchronisation avec les partenaires tiers payant</t>
  </si>
  <si>
    <t>Responsable Tiers Payant</t>
  </si>
  <si>
    <t>Erreur d'exécution ou de paramétrage sur Synchronisation avec les partenaires tiers payant</t>
  </si>
  <si>
    <t>Taux d'anomalies opérationnelles sur Synchronisation avec les partenaires tiers payant</t>
  </si>
  <si>
    <t>Formaliser les points de contrôle critiques, renforcer les rapprochements et fiabiliser les règles métier sur synchronisation avec les partenaires tiers payant.</t>
  </si>
  <si>
    <t>RSH-054</t>
  </si>
  <si>
    <t>Non-conformité réglementaire ou contractuelle dans Synchronisation avec les partenaires tiers payant</t>
  </si>
  <si>
    <t>Nombre d'exceptions de conformité sur Synchronisation avec les partenaires tiers payant</t>
  </si>
  <si>
    <t>Mettre à jour la procédure, documenter les preuves de conformité et intégrer synchronisation avec les partenaires tiers payant au plan de contrôle permanent.</t>
  </si>
  <si>
    <t>RSH-055</t>
  </si>
  <si>
    <t>Rupture de flux, rejet massif ou désynchronisation des données supportant Synchronisation avec les partenaires tiers payant</t>
  </si>
  <si>
    <t>Indisponibilité / incidents sécurité liés à Synchronisation avec les partenaires tiers payant</t>
  </si>
  <si>
    <t>Réduire les habilitations, tester la reprise et renforcer la supervision / journalisation sur synchronisation avec les partenaires tiers payant.</t>
  </si>
  <si>
    <t>RSH-056</t>
  </si>
  <si>
    <t>Fraude, surfacturation, anti-sélection ou perte financière liée à Synchronisation avec les partenaires tiers payant</t>
  </si>
  <si>
    <t>Montant ou cas atypiques détectés sur Synchronisation avec les partenaires tiers payant</t>
  </si>
  <si>
    <t>Renforcer les scénarios de détection, la revue analytique et les contrôles ciblés sur synchronisation avec les partenaires tiers payant.</t>
  </si>
  <si>
    <t>RSH-057</t>
  </si>
  <si>
    <t>Conventionnement et contrôle des partenaires de santé</t>
  </si>
  <si>
    <t>Sélection et contractualisation des partenaires</t>
  </si>
  <si>
    <t>Directeur Réseau de Soins</t>
  </si>
  <si>
    <t>Responsable Conventionnement</t>
  </si>
  <si>
    <t>Erreur d'exécution ou de paramétrage sur Sélection et contractualisation des partenaires</t>
  </si>
  <si>
    <t>Partenaire réseau surfacturant ou ne respectant pas ses engagements de qualité/traçabilité.</t>
  </si>
  <si>
    <t>Taux d'anomalies opérationnelles sur Sélection et contractualisation des partenaires</t>
  </si>
  <si>
    <t>Formaliser les points de contrôle critiques, renforcer les rapprochements et fiabiliser les règles métier sur sélection et contractualisation des partenaires.</t>
  </si>
  <si>
    <t>Les risques concernent la qualité et la conformité des partenaires, le conflit d'intérêts et la dépendance réseau. Le risque est fréquent dans les chaînes de gestion volumétriques (cotisations, prestations, flux).</t>
  </si>
  <si>
    <t>RSH-058</t>
  </si>
  <si>
    <t>Non-conformité réglementaire ou contractuelle dans Sélection et contractualisation des partenaires</t>
  </si>
  <si>
    <t>Nombre d'exceptions de conformité sur Sélection et contractualisation des partenaires</t>
  </si>
  <si>
    <t>Mettre à jour la procédure, documenter les preuves de conformité et intégrer sélection et contractualisation des partenaires au plan de contrôle permanent.</t>
  </si>
  <si>
    <t>Les risques concernent la qualité et la conformité des partenaires, le conflit d'intérêts et la dépendance réseau. Le secteur est fortement encadré par l'ACPR, la DDA, le RGPD et les obligations contractuelles.</t>
  </si>
  <si>
    <t>RSH-059</t>
  </si>
  <si>
    <t>Altération, indisponibilité ou accès indu aux données et outils supportant Sélection et contractualisation des partenaires</t>
  </si>
  <si>
    <t>Indisponibilité / incidents sécurité liés à Sélection et contractualisation des partenaires</t>
  </si>
  <si>
    <t>Réduire les habilitations, tester la reprise et renforcer la supervision / journalisation sur sélection et contractualisation des partenaires.</t>
  </si>
  <si>
    <t>Les risques concernent la qualité et la conformité des partenaires, le conflit d'intérêts et la dépendance réseau. Les organismes manipulent des données de santé sensibles et dépendent fortement des applications cœur et des flux NOEMIE.</t>
  </si>
  <si>
    <t>RSH-060</t>
  </si>
  <si>
    <t>Surfacturation, dérive de pratiques ou dépendance excessive à un partenaire liée à Sélection et contractualisation des partenaires</t>
  </si>
  <si>
    <t>Surcoûts réseau, qualité de service dégradée, litiges conventionnels et risque de réputation</t>
  </si>
  <si>
    <t>Montant ou cas atypiques détectés sur Sélection et contractualisation des partenaires</t>
  </si>
  <si>
    <t>Partager</t>
  </si>
  <si>
    <t>Renforcer les scénarios de détection, la revue analytique et les contrôles ciblés sur sélection et contractualisation des partenaires.</t>
  </si>
  <si>
    <t>Les risques concernent la qualité et la conformité des partenaires, le conflit d'intérêts et la dépendance réseau. Le risque est alimenté par les tiers, les flux financiers, l'anti-sélection et la fraude aux prestations.</t>
  </si>
  <si>
    <t>RSH-061</t>
  </si>
  <si>
    <t>Suivi des pratiques de facturation</t>
  </si>
  <si>
    <t>Responsable Contrôle Réseau</t>
  </si>
  <si>
    <t>Erreur d'exécution ou de paramétrage sur Suivi des pratiques de facturation</t>
  </si>
  <si>
    <t>Taux d'anomalies opérationnelles sur Suivi des pratiques de facturation</t>
  </si>
  <si>
    <t>Formaliser les points de contrôle critiques, renforcer les rapprochements et fiabiliser les règles métier sur suivi des pratiques de facturation.</t>
  </si>
  <si>
    <t>RSH-062</t>
  </si>
  <si>
    <t>Non-conformité réglementaire ou contractuelle dans Suivi des pratiques de facturation</t>
  </si>
  <si>
    <t>Nombre d'exceptions de conformité sur Suivi des pratiques de facturation</t>
  </si>
  <si>
    <t>Mettre à jour la procédure, documenter les preuves de conformité et intégrer suivi des pratiques de facturation au plan de contrôle permanent.</t>
  </si>
  <si>
    <t>RSH-063</t>
  </si>
  <si>
    <t>Altération, indisponibilité ou accès indu aux données et outils supportant Suivi des pratiques de facturation</t>
  </si>
  <si>
    <t>Indisponibilité / incidents sécurité liés à Suivi des pratiques de facturation</t>
  </si>
  <si>
    <t>Réduire les habilitations, tester la reprise et renforcer la supervision / journalisation sur suivi des pratiques de facturation.</t>
  </si>
  <si>
    <t>RSH-064</t>
  </si>
  <si>
    <t>Surfacturation, dérive de pratiques ou dépendance excessive à un partenaire liée à Suivi des pratiques de facturation</t>
  </si>
  <si>
    <t>Montant ou cas atypiques détectés sur Suivi des pratiques de facturation</t>
  </si>
  <si>
    <t>Renforcer les scénarios de détection, la revue analytique et les contrôles ciblés sur suivi des pratiques de facturation.</t>
  </si>
  <si>
    <t>RSH-065</t>
  </si>
  <si>
    <t>Finance, Risques &amp; Conformité</t>
  </si>
  <si>
    <t>Encaissement des cotisations et recouvrement</t>
  </si>
  <si>
    <t>Appel de cotisations</t>
  </si>
  <si>
    <t>Directeur Administratif et Financier</t>
  </si>
  <si>
    <t>Directeur Financier</t>
  </si>
  <si>
    <t>Responsable Gestion des Cotisations</t>
  </si>
  <si>
    <t>Erreur d'exécution ou de paramétrage sur Appel de cotisations</t>
  </si>
  <si>
    <t>Mauvaise affectation de prélèvements et relances erronées sur des contrats collectifs importants.</t>
  </si>
  <si>
    <t>Taux d'anomalies opérationnelles sur Appel de cotisations</t>
  </si>
  <si>
    <t>Formaliser les points de contrôle critiques, renforcer les rapprochements et fiabiliser les règles métier sur appel de cotisations.</t>
  </si>
  <si>
    <t>Les risques touchent le cash, les impayés, la bonne affectation des cotisations et les impacts comptables. Le risque est fréquent dans les chaînes de gestion volumétriques (cotisations, prestations, flux).</t>
  </si>
  <si>
    <t>RSH-066</t>
  </si>
  <si>
    <t>Non-conformité réglementaire ou contractuelle dans Appel de cotisations</t>
  </si>
  <si>
    <t>Nombre d'exceptions de conformité sur Appel de cotisations</t>
  </si>
  <si>
    <t>Mettre à jour la procédure, documenter les preuves de conformité et intégrer appel de cotisations au plan de contrôle permanent.</t>
  </si>
  <si>
    <t>Les risques touchent le cash, les impayés, la bonne affectation des cotisations et les impacts comptables. Le secteur est fortement encadré par l'ACPR, la DDA, le RGPD et les obligations contractuelles.</t>
  </si>
  <si>
    <t>RSH-067</t>
  </si>
  <si>
    <t>Altération, indisponibilité ou accès indu aux données et outils supportant Appel de cotisations</t>
  </si>
  <si>
    <t>Indisponibilité / incidents sécurité liés à Appel de cotisations</t>
  </si>
  <si>
    <t>Réduire les habilitations, tester la reprise et renforcer la supervision / journalisation sur appel de cotisations.</t>
  </si>
  <si>
    <t>Les risques touchent le cash, les impayés, la bonne affectation des cotisations et les impacts comptables. Les organismes manipulent des données de santé sensibles et dépendent fortement des applications cœur et des flux NOEMIE.</t>
  </si>
  <si>
    <t>RSH-068</t>
  </si>
  <si>
    <t>Impayés, mauvaise affectation de trésorerie ou contournement de contrôle lié à Appel de cotisations</t>
  </si>
  <si>
    <t>Tension de cash, erreurs comptables, risque de résiliation inappropriée et perte de recettes</t>
  </si>
  <si>
    <t>Montant ou cas atypiques détectés sur Appel de cotisations</t>
  </si>
  <si>
    <t>Renforcer les scénarios de détection, la revue analytique et les contrôles ciblés sur appel de cotisations.</t>
  </si>
  <si>
    <t>Les risques touchent le cash, les impayés, la bonne affectation des cotisations et les impacts comptables. Le risque est alimenté par les tiers, les flux financiers, l'anti-sélection et la fraude aux prestations.</t>
  </si>
  <si>
    <t>RSH-069</t>
  </si>
  <si>
    <t>Prélèvement et rapprochement bancaire</t>
  </si>
  <si>
    <t>Responsable Trésorerie Santé</t>
  </si>
  <si>
    <t>Erreur d'exécution ou de paramétrage sur Prélèvement et rapprochement bancaire</t>
  </si>
  <si>
    <t>Taux d'anomalies opérationnelles sur Prélèvement et rapprochement bancaire</t>
  </si>
  <si>
    <t>Formaliser les points de contrôle critiques, renforcer les rapprochements et fiabiliser les règles métier sur prélèvement et rapprochement bancaire.</t>
  </si>
  <si>
    <t>RSH-070</t>
  </si>
  <si>
    <t>Non-conformité réglementaire ou contractuelle dans Prélèvement et rapprochement bancaire</t>
  </si>
  <si>
    <t>Nombre d'exceptions de conformité sur Prélèvement et rapprochement bancaire</t>
  </si>
  <si>
    <t>Mettre à jour la procédure, documenter les preuves de conformité et intégrer prélèvement et rapprochement bancaire au plan de contrôle permanent.</t>
  </si>
  <si>
    <t>RSH-071</t>
  </si>
  <si>
    <t>Altération, indisponibilité ou accès indu aux données et outils supportant Prélèvement et rapprochement bancaire</t>
  </si>
  <si>
    <t>Indisponibilité / incidents sécurité liés à Prélèvement et rapprochement bancaire</t>
  </si>
  <si>
    <t>Réduire les habilitations, tester la reprise et renforcer la supervision / journalisation sur prélèvement et rapprochement bancaire.</t>
  </si>
  <si>
    <t>RSH-072</t>
  </si>
  <si>
    <t>Impayés, mauvaise affectation de trésorerie ou contournement de contrôle lié à Prélèvement et rapprochement bancaire</t>
  </si>
  <si>
    <t>Montant ou cas atypiques détectés sur Prélèvement et rapprochement bancaire</t>
  </si>
  <si>
    <t>Renforcer les scénarios de détection, la revue analytique et les contrôles ciblés sur prélèvement et rapprochement bancaire.</t>
  </si>
  <si>
    <t>RSH-073</t>
  </si>
  <si>
    <t>Recouvrement et résiliation</t>
  </si>
  <si>
    <t>Responsable Recouvrement</t>
  </si>
  <si>
    <t>Erreur d'exécution ou de paramétrage sur Recouvrement et résiliation</t>
  </si>
  <si>
    <t>Taux d'anomalies opérationnelles sur Recouvrement et résiliation</t>
  </si>
  <si>
    <t>Formaliser les points de contrôle critiques, renforcer les rapprochements et fiabiliser les règles métier sur recouvrement et résiliation.</t>
  </si>
  <si>
    <t>RSH-074</t>
  </si>
  <si>
    <t>Non-conformité réglementaire ou contractuelle dans Recouvrement et résiliation</t>
  </si>
  <si>
    <t>Nombre d'exceptions de conformité sur Recouvrement et résiliation</t>
  </si>
  <si>
    <t>Mettre à jour la procédure, documenter les preuves de conformité et intégrer recouvrement et résiliation au plan de contrôle permanent.</t>
  </si>
  <si>
    <t>RSH-075</t>
  </si>
  <si>
    <t>Altération, indisponibilité ou accès indu aux données et outils supportant Recouvrement et résiliation</t>
  </si>
  <si>
    <t>Indisponibilité / incidents sécurité liés à Recouvrement et résiliation</t>
  </si>
  <si>
    <t>Réduire les habilitations, tester la reprise et renforcer la supervision / journalisation sur recouvrement et résiliation.</t>
  </si>
  <si>
    <t>RSH-076</t>
  </si>
  <si>
    <t>Impayés, mauvaise affectation de trésorerie ou contournement de contrôle lié à Recouvrement et résiliation</t>
  </si>
  <si>
    <t>Montant ou cas atypiques détectés sur Recouvrement et résiliation</t>
  </si>
  <si>
    <t>Renforcer les scénarios de détection, la revue analytique et les contrôles ciblés sur recouvrement et résiliation.</t>
  </si>
  <si>
    <t>RSH-077</t>
  </si>
  <si>
    <t>Solvabilité II, ORSA et reportings prudentiels</t>
  </si>
  <si>
    <t>Calcul des indicateurs prudentiels</t>
  </si>
  <si>
    <t>Directeur Risques et Conformité</t>
  </si>
  <si>
    <t>Chief Risk Officer</t>
  </si>
  <si>
    <t>Responsable Pilotage Solvabilité II</t>
  </si>
  <si>
    <t>Erreur d'exécution ou de paramétrage sur Calcul des indicateurs prudentiels</t>
  </si>
  <si>
    <t>Hypothèses de stress ou QRT erronés conduisant à une lecture faussée de la solvabilité.</t>
  </si>
  <si>
    <t>Taux d'anomalies opérationnelles sur Calcul des indicateurs prudentiels</t>
  </si>
  <si>
    <t>Formaliser les points de contrôle critiques, renforcer les rapprochements et fiabiliser les règles métier sur calcul des indicateurs prudentiels.</t>
  </si>
  <si>
    <t>Les risques concernent le pilotage prudentiel, les reportings ACPR/EIOPA et la capacité de l'organisme à maintenir une solvabilité adéquate. Le risque est fréquent dans les chaînes de gestion volumétriques (cotisations, prestations, flux).</t>
  </si>
  <si>
    <t>RSH-078</t>
  </si>
  <si>
    <t>Reporting prudentiel incomplet ou non conforme dans Calcul des indicateurs prudentiels</t>
  </si>
  <si>
    <t>Risque superviseur, corrections tardives, perte de crédibilité et décision de pilotage dégradée</t>
  </si>
  <si>
    <t>Nombre d'exceptions de conformité sur Calcul des indicateurs prudentiels</t>
  </si>
  <si>
    <t>Mettre à jour la procédure, documenter les preuves de conformité et intégrer calcul des indicateurs prudentiels au plan de contrôle permanent.</t>
  </si>
  <si>
    <t>Les risques concernent le pilotage prudentiel, les reportings ACPR/EIOPA et la capacité de l'organisme à maintenir une solvabilité adéquate. Le secteur est fortement encadré par l'ACPR, la DDA, le RGPD et les obligations contractuelles.</t>
  </si>
  <si>
    <t>RSH-079</t>
  </si>
  <si>
    <t>Altération, indisponibilité ou accès indu aux données et outils supportant Calcul des indicateurs prudentiels</t>
  </si>
  <si>
    <t>Indisponibilité / incidents sécurité liés à Calcul des indicateurs prudentiels</t>
  </si>
  <si>
    <t>Réduire les habilitations, tester la reprise et renforcer la supervision / journalisation sur calcul des indicateurs prudentiels.</t>
  </si>
  <si>
    <t>Les risques concernent le pilotage prudentiel, les reportings ACPR/EIOPA et la capacité de l'organisme à maintenir une solvabilité adéquate. Les organismes manipulent des données de santé sensibles et dépendent fortement des applications cœur et des flux NOEMIE.</t>
  </si>
  <si>
    <t>RSH-080</t>
  </si>
  <si>
    <t>Sous-estimation des besoins de capital, hypothèses biaisées ou dérive financière non détectée dans Calcul des indicateurs prudentiels</t>
  </si>
  <si>
    <t>Décision de gestion inadéquate, sous-couverture potentielle du SCR et tension prudentielle</t>
  </si>
  <si>
    <t>Montant ou cas atypiques détectés sur Calcul des indicateurs prudentiels</t>
  </si>
  <si>
    <t>Renforcer les scénarios de détection, la revue analytique et les contrôles ciblés sur calcul des indicateurs prudentiels.</t>
  </si>
  <si>
    <t>Les risques concernent le pilotage prudentiel, les reportings ACPR/EIOPA et la capacité de l'organisme à maintenir une solvabilité adéquate. Le risque est alimenté par les tiers, les flux financiers, l'anti-sélection et la fraude aux prestations.</t>
  </si>
  <si>
    <t>RSH-081</t>
  </si>
  <si>
    <t>ORSA et stress tests</t>
  </si>
  <si>
    <t>Responsable ORSA</t>
  </si>
  <si>
    <t>Erreur d'exécution ou de paramétrage sur ORSA et stress tests</t>
  </si>
  <si>
    <t>Taux d'anomalies opérationnelles sur ORSA et stress tests</t>
  </si>
  <si>
    <t>Formaliser les points de contrôle critiques, renforcer les rapprochements et fiabiliser les règles métier sur orsa et stress tests.</t>
  </si>
  <si>
    <t>RSH-082</t>
  </si>
  <si>
    <t>Reporting prudentiel incomplet ou non conforme dans ORSA et stress tests</t>
  </si>
  <si>
    <t>Nombre d'exceptions de conformité sur ORSA et stress tests</t>
  </si>
  <si>
    <t>Mettre à jour la procédure, documenter les preuves de conformité et intégrer orsa et stress tests au plan de contrôle permanent.</t>
  </si>
  <si>
    <t>RSH-083</t>
  </si>
  <si>
    <t>Altération, indisponibilité ou accès indu aux données et outils supportant ORSA et stress tests</t>
  </si>
  <si>
    <t>Indisponibilité / incidents sécurité liés à ORSA et stress tests</t>
  </si>
  <si>
    <t>Réduire les habilitations, tester la reprise et renforcer la supervision / journalisation sur orsa et stress tests.</t>
  </si>
  <si>
    <t>RSH-084</t>
  </si>
  <si>
    <t>Sous-estimation des besoins de capital, hypothèses biaisées ou dérive financière non détectée dans ORSA et stress tests</t>
  </si>
  <si>
    <t>Montant ou cas atypiques détectés sur ORSA et stress tests</t>
  </si>
  <si>
    <t>Renforcer les scénarios de détection, la revue analytique et les contrôles ciblés sur orsa et stress tests.</t>
  </si>
  <si>
    <t>RSH-085</t>
  </si>
  <si>
    <t>Conformité, distribution et lutte anti-fraude</t>
  </si>
  <si>
    <t>Contrôle du devoir de conseil et DDA</t>
  </si>
  <si>
    <t>Directeur Conformité</t>
  </si>
  <si>
    <t>Responsable Conformité Distribution</t>
  </si>
  <si>
    <t>Erreur d'exécution ou de paramétrage sur Contrôle du devoir de conseil et DDA</t>
  </si>
  <si>
    <t>Commercialisation inadaptée, devoir de conseil incomplet ou schéma de fraude non détecté.</t>
  </si>
  <si>
    <t>Taux d'anomalies opérationnelles sur Contrôle du devoir de conseil et DDA</t>
  </si>
  <si>
    <t>Formaliser les points de contrôle critiques, renforcer les rapprochements et fiabiliser les règles métier sur contrôle du devoir de conseil et dda.</t>
  </si>
  <si>
    <t>Les risques couvrent la distribution, les conflits d'intérêts, la fraude assurés/professionnels et les manquements de conformité. Le risque est fréquent dans les chaînes de gestion volumétriques (cotisations, prestations, flux).</t>
  </si>
  <si>
    <t>RSH-086</t>
  </si>
  <si>
    <t>DDA / gouvernance produit / conduite des affaires</t>
  </si>
  <si>
    <t>Non-conformité réglementaire ou contractuelle dans Contrôle du devoir de conseil et DDA</t>
  </si>
  <si>
    <t>Nombre d'exceptions de conformité sur Contrôle du devoir de conseil et DDA</t>
  </si>
  <si>
    <t>Mettre à jour la procédure, documenter les preuves de conformité et intégrer contrôle du devoir de conseil et dda au plan de contrôle permanent.</t>
  </si>
  <si>
    <t>Les risques couvrent la distribution, les conflits d'intérêts, la fraude assurés/professionnels et les manquements de conformité. Le secteur est fortement encadré par l'ACPR, la DDA, le RGPD et les obligations contractuelles.</t>
  </si>
  <si>
    <t>RSH-087</t>
  </si>
  <si>
    <t>Altération, indisponibilité ou accès indu aux données et outils supportant Contrôle du devoir de conseil et DDA</t>
  </si>
  <si>
    <t>Indisponibilité / incidents sécurité liés à Contrôle du devoir de conseil et DDA</t>
  </si>
  <si>
    <t>Réduire les habilitations, tester la reprise et renforcer la supervision / journalisation sur contrôle du devoir de conseil et dda.</t>
  </si>
  <si>
    <t>Les risques couvrent la distribution, les conflits d'intérêts, la fraude assurés/professionnels et les manquements de conformité. Les organismes manipulent des données de santé sensibles et dépendent fortement des applications cœur et des flux NOEMIE.</t>
  </si>
  <si>
    <t>RSH-088</t>
  </si>
  <si>
    <t>Fraude, surfacturation, anti-sélection ou perte financière liée à Contrôle du devoir de conseil et DDA</t>
  </si>
  <si>
    <t>Montant ou cas atypiques détectés sur Contrôle du devoir de conseil et DDA</t>
  </si>
  <si>
    <t>Renforcer les scénarios de détection, la revue analytique et les contrôles ciblés sur contrôle du devoir de conseil et dda.</t>
  </si>
  <si>
    <t>Les risques couvrent la distribution, les conflits d'intérêts, la fraude assurés/professionnels et les manquements de conformité. Le risque est alimenté par les tiers, les flux financiers, l'anti-sélection et la fraude aux prestations.</t>
  </si>
  <si>
    <t>RSH-089</t>
  </si>
  <si>
    <t>Dispositif de lutte anti-fraude</t>
  </si>
  <si>
    <t>Erreur d'exécution ou de paramétrage sur Dispositif de lutte anti-fraude</t>
  </si>
  <si>
    <t>Taux d'anomalies opérationnelles sur Dispositif de lutte anti-fraude</t>
  </si>
  <si>
    <t>Formaliser les points de contrôle critiques, renforcer les rapprochements et fiabiliser les règles métier sur dispositif de lutte anti-fraude.</t>
  </si>
  <si>
    <t>RSH-090</t>
  </si>
  <si>
    <t>Non-conformité réglementaire ou contractuelle dans Dispositif de lutte anti-fraude</t>
  </si>
  <si>
    <t>Nombre d'exceptions de conformité sur Dispositif de lutte anti-fraude</t>
  </si>
  <si>
    <t>Mettre à jour la procédure, documenter les preuves de conformité et intégrer dispositif de lutte anti-fraude au plan de contrôle permanent.</t>
  </si>
  <si>
    <t>RSH-091</t>
  </si>
  <si>
    <t>Altération, indisponibilité ou accès indu aux données et outils supportant Dispositif de lutte anti-fraude</t>
  </si>
  <si>
    <t>Indisponibilité / incidents sécurité liés à Dispositif de lutte anti-fraude</t>
  </si>
  <si>
    <t>Réduire les habilitations, tester la reprise et renforcer la supervision / journalisation sur dispositif de lutte anti-fraude.</t>
  </si>
  <si>
    <t>RSH-092</t>
  </si>
  <si>
    <t>Fraude, surfacturation, anti-sélection ou perte financière liée à Dispositif de lutte anti-fraude</t>
  </si>
  <si>
    <t>Montant ou cas atypiques détectés sur Dispositif de lutte anti-fraude</t>
  </si>
  <si>
    <t>Renforcer les scénarios de détection, la revue analytique et les contrôles ciblés sur dispositif de lutte anti-fraude.</t>
  </si>
  <si>
    <t>RSH-093</t>
  </si>
  <si>
    <t>Contrôles permanents et incidents de conformité</t>
  </si>
  <si>
    <t>Responsable Contrôle Permanent</t>
  </si>
  <si>
    <t>Erreur d'exécution ou de paramétrage sur Contrôles permanents et incidents de conformité</t>
  </si>
  <si>
    <t>Taux d'anomalies opérationnelles sur Contrôles permanents et incidents de conformité</t>
  </si>
  <si>
    <t>Formaliser les points de contrôle critiques, renforcer les rapprochements et fiabiliser les règles métier sur contrôles permanents et incidents de conformité.</t>
  </si>
  <si>
    <t>RSH-094</t>
  </si>
  <si>
    <t>Non-conformité réglementaire ou contractuelle dans Contrôles permanents et incidents de conformité</t>
  </si>
  <si>
    <t>Nombre d'exceptions de conformité sur Contrôles permanents et incidents de conformité</t>
  </si>
  <si>
    <t>Mettre à jour la procédure, documenter les preuves de conformité et intégrer contrôles permanents et incidents de conformité au plan de contrôle permanent.</t>
  </si>
  <si>
    <t>RSH-095</t>
  </si>
  <si>
    <t>Altération, indisponibilité ou accès indu aux données et outils supportant Contrôles permanents et incidents de conformité</t>
  </si>
  <si>
    <t>Indisponibilité / incidents sécurité liés à Contrôles permanents et incidents de conformité</t>
  </si>
  <si>
    <t>Réduire les habilitations, tester la reprise et renforcer la supervision / journalisation sur contrôles permanents et incidents de conformité.</t>
  </si>
  <si>
    <t>RSH-096</t>
  </si>
  <si>
    <t>Fraude, surfacturation, anti-sélection ou perte financière liée à Contrôles permanents et incidents de conformité</t>
  </si>
  <si>
    <t>Montant ou cas atypiques détectés sur Contrôles permanents et incidents de conformité</t>
  </si>
  <si>
    <t>Renforcer les scénarios de détection, la revue analytique et les contrôles ciblés sur contrôles permanents et incidents de conformité.</t>
  </si>
  <si>
    <t>RSH-097</t>
  </si>
  <si>
    <t>SI, Data &amp; Sécurité</t>
  </si>
  <si>
    <t>Gestion des données de santé et RGPD</t>
  </si>
  <si>
    <t>Collecte et justificatifs de santé</t>
  </si>
  <si>
    <t>Chief Data Officer</t>
  </si>
  <si>
    <t>DPO / Chief Data Officer</t>
  </si>
  <si>
    <t>Responsable Gouvernance des Données</t>
  </si>
  <si>
    <t>Erreur d'exécution ou de paramétrage sur Collecte et justificatifs de santé</t>
  </si>
  <si>
    <t>Collecte ou conservation de justificatifs santé au-delà du strict nécessaire, sans base/documentation adéquate.</t>
  </si>
  <si>
    <t>Taux d'anomalies opérationnelles sur Collecte et justificatifs de santé</t>
  </si>
  <si>
    <t>Formaliser les points de contrôle critiques, renforcer les rapprochements et fiabiliser les règles métier sur collecte et justificatifs de santé.</t>
  </si>
  <si>
    <t>Les risques portent sur la licéité des traitements, la minimisation, l'accès aux données sensibles et la durée de conservation. Le risque est fréquent dans les chaînes de gestion volumétriques (cotisations, prestations, flux).</t>
  </si>
  <si>
    <t>RSH-098</t>
  </si>
  <si>
    <t>Traitement non licite, excessif ou insuffisamment documenté dans Collecte et justificatifs de santé</t>
  </si>
  <si>
    <t>Manquement RGPD/CNIL, injonction, remédiation lourde et atteinte à la confiance</t>
  </si>
  <si>
    <t>Nombre d'exceptions de conformité sur Collecte et justificatifs de santé</t>
  </si>
  <si>
    <t>Mettre à jour la procédure, documenter les preuves de conformité et intégrer collecte et justificatifs de santé au plan de contrôle permanent.</t>
  </si>
  <si>
    <t>Les risques portent sur la licéité des traitements, la minimisation, l'accès aux données sensibles et la durée de conservation. Le secteur est fortement encadré par l'ACPR, la DDA, le RGPD et les obligations contractuelles.</t>
  </si>
  <si>
    <t>RSH-099</t>
  </si>
  <si>
    <t>RGPD / données de santé / IAM</t>
  </si>
  <si>
    <t>Altération, indisponibilité ou accès indu aux données et outils supportant Collecte et justificatifs de santé</t>
  </si>
  <si>
    <t>Indisponibilité / incidents sécurité liés à Collecte et justificatifs de santé</t>
  </si>
  <si>
    <t>Réduire les habilitations, tester la reprise et renforcer la supervision / journalisation sur collecte et justificatifs de santé.</t>
  </si>
  <si>
    <t>Les risques portent sur la licéité des traitements, la minimisation, l'accès aux données sensibles et la durée de conservation. Les organismes manipulent des données de santé sensibles et dépendent fortement des applications cœur et des flux NOEMIE.</t>
  </si>
  <si>
    <t>RSH-100</t>
  </si>
  <si>
    <t>Fraude, surfacturation, anti-sélection ou perte financière liée à Collecte et justificatifs de santé</t>
  </si>
  <si>
    <t>Montant ou cas atypiques détectés sur Collecte et justificatifs de santé</t>
  </si>
  <si>
    <t>Renforcer les scénarios de détection, la revue analytique et les contrôles ciblés sur collecte et justificatifs de santé.</t>
  </si>
  <si>
    <t>Les risques portent sur la licéité des traitements, la minimisation, l'accès aux données sensibles et la durée de conservation. Le risque est alimenté par les tiers, les flux financiers, l'anti-sélection et la fraude aux prestations.</t>
  </si>
  <si>
    <t>RSH-101</t>
  </si>
  <si>
    <t>Conservation et purge des données</t>
  </si>
  <si>
    <t>Responsable Data Governance</t>
  </si>
  <si>
    <t>Erreur d'exécution ou de paramétrage sur Conservation et purge des données</t>
  </si>
  <si>
    <t>Taux d'anomalies opérationnelles sur Conservation et purge des données</t>
  </si>
  <si>
    <t>Formaliser les points de contrôle critiques, renforcer les rapprochements et fiabiliser les règles métier sur conservation et purge des données.</t>
  </si>
  <si>
    <t>RSH-102</t>
  </si>
  <si>
    <t>Traitement non licite, excessif ou insuffisamment documenté dans Conservation et purge des données</t>
  </si>
  <si>
    <t>Nombre d'exceptions de conformité sur Conservation et purge des données</t>
  </si>
  <si>
    <t>Mettre à jour la procédure, documenter les preuves de conformité et intégrer conservation et purge des données au plan de contrôle permanent.</t>
  </si>
  <si>
    <t>RSH-103</t>
  </si>
  <si>
    <t>Altération, indisponibilité ou accès indu aux données et outils supportant Conservation et purge des données</t>
  </si>
  <si>
    <t>Indisponibilité / incidents sécurité liés à Conservation et purge des données</t>
  </si>
  <si>
    <t>Réduire les habilitations, tester la reprise et renforcer la supervision / journalisation sur conservation et purge des données.</t>
  </si>
  <si>
    <t>RSH-104</t>
  </si>
  <si>
    <t>Fraude, surfacturation, anti-sélection ou perte financière liée à Conservation et purge des données</t>
  </si>
  <si>
    <t>Montant ou cas atypiques détectés sur Conservation et purge des données</t>
  </si>
  <si>
    <t>Renforcer les scénarios de détection, la revue analytique et les contrôles ciblés sur conservation et purge des données.</t>
  </si>
  <si>
    <t>RSH-105</t>
  </si>
  <si>
    <t>Gestion des droits d'accès aux données sensibles</t>
  </si>
  <si>
    <t>Responsable IAM</t>
  </si>
  <si>
    <t>Erreur d'exécution ou de paramétrage sur Gestion des droits d'accès aux données sensibles</t>
  </si>
  <si>
    <t>Taux d'anomalies opérationnelles sur Gestion des droits d'accès aux données sensibles</t>
  </si>
  <si>
    <t>Formaliser les points de contrôle critiques, renforcer les rapprochements et fiabiliser les règles métier sur gestion des droits d'accès aux données sensibles.</t>
  </si>
  <si>
    <t>RSH-106</t>
  </si>
  <si>
    <t>Traitement non licite, excessif ou insuffisamment documenté dans Gestion des droits d'accès aux données sensibles</t>
  </si>
  <si>
    <t>Nombre d'exceptions de conformité sur Gestion des droits d'accès aux données sensibles</t>
  </si>
  <si>
    <t>Mettre à jour la procédure, documenter les preuves de conformité et intégrer gestion des droits d'accès aux données sensibles au plan de contrôle permanent.</t>
  </si>
  <si>
    <t>RSH-107</t>
  </si>
  <si>
    <t>Altération, indisponibilité ou accès indu aux données et outils supportant Gestion des droits d'accès aux données sensibles</t>
  </si>
  <si>
    <t>Indisponibilité / incidents sécurité liés à Gestion des droits d'accès aux données sensibles</t>
  </si>
  <si>
    <t>Réduire les habilitations, tester la reprise et renforcer la supervision / journalisation sur gestion des droits d'accès aux données sensibles.</t>
  </si>
  <si>
    <t>RSH-108</t>
  </si>
  <si>
    <t>Fraude, surfacturation, anti-sélection ou perte financière liée à Gestion des droits d'accès aux données sensibles</t>
  </si>
  <si>
    <t>Montant ou cas atypiques détectés sur Gestion des droits d'accès aux données sensibles</t>
  </si>
  <si>
    <t>Renforcer les scénarios de détection, la revue analytique et les contrôles ciblés sur gestion des droits d'accès aux données sensibles.</t>
  </si>
  <si>
    <t>RSH-109</t>
  </si>
  <si>
    <t>Applications cœur santé et cybersécurité</t>
  </si>
  <si>
    <t>Administration des applications cœur</t>
  </si>
  <si>
    <t>DSI Assurance Santé</t>
  </si>
  <si>
    <t>RSSI / DSI</t>
  </si>
  <si>
    <t>Responsable Production Applicative</t>
  </si>
  <si>
    <t>Erreur d'exécution ou de paramétrage sur Administration des applications cœur</t>
  </si>
  <si>
    <t>Cyberincident ou changement applicatif dégradant la liquidation, la relation client et l'accès aux données sensibles.</t>
  </si>
  <si>
    <t>Taux d'anomalies opérationnelles sur Administration des applications cœur</t>
  </si>
  <si>
    <t>Formaliser les points de contrôle critiques, renforcer les rapprochements et fiabiliser les règles métier sur administration des applications cœur.</t>
  </si>
  <si>
    <t>Les risques concernent l'indisponibilité des applicatifs, la cybersécurité, les changements et la résilience opérationnelle. Le risque est fréquent dans les chaînes de gestion volumétriques (cotisations, prestations, flux).</t>
  </si>
  <si>
    <t>RSH-110</t>
  </si>
  <si>
    <t>Non-conformité réglementaire ou contractuelle dans Administration des applications cœur</t>
  </si>
  <si>
    <t>Nombre d'exceptions de conformité sur Administration des applications cœur</t>
  </si>
  <si>
    <t>Mettre à jour la procédure, documenter les preuves de conformité et intégrer administration des applications cœur au plan de contrôle permanent.</t>
  </si>
  <si>
    <t>Les risques concernent l'indisponibilité des applicatifs, la cybersécurité, les changements et la résilience opérationnelle. Le secteur est fortement encadré par l'ACPR, la DDA, le RGPD et les obligations contractuelles.</t>
  </si>
  <si>
    <t>RSH-111</t>
  </si>
  <si>
    <t>Indisponibilité majeure, cyberattaque ou corruption applicative impactant Administration des applications cœur</t>
  </si>
  <si>
    <t>Interruption des prestations, impossibilité d'opérer, fuite de données et coûts de crise</t>
  </si>
  <si>
    <t>Indisponibilité / incidents sécurité liés à Administration des applications cœur</t>
  </si>
  <si>
    <t>Réduire les habilitations, tester la reprise et renforcer la supervision / journalisation sur administration des applications cœur.</t>
  </si>
  <si>
    <t>Les risques concernent l'indisponibilité des applicatifs, la cybersécurité, les changements et la résilience opérationnelle. Les organismes manipulent des données de santé sensibles et dépendent fortement des applications cœur et des flux NOEMIE.</t>
  </si>
  <si>
    <t>RSH-112</t>
  </si>
  <si>
    <t>Fraude, surfacturation, anti-sélection ou perte financière liée à Administration des applications cœur</t>
  </si>
  <si>
    <t>Montant ou cas atypiques détectés sur Administration des applications cœur</t>
  </si>
  <si>
    <t>Renforcer les scénarios de détection, la revue analytique et les contrôles ciblés sur administration des applications cœur.</t>
  </si>
  <si>
    <t>Les risques concernent l'indisponibilité des applicatifs, la cybersécurité, les changements et la résilience opérationnelle. Le risque est alimenté par les tiers, les flux financiers, l'anti-sélection et la fraude aux prestations.</t>
  </si>
  <si>
    <t>RSH-113</t>
  </si>
  <si>
    <t>Gestion des changements et mises en production</t>
  </si>
  <si>
    <t>Responsable Change Management</t>
  </si>
  <si>
    <t>Erreur d'exécution ou de paramétrage sur Gestion des changements et mises en production</t>
  </si>
  <si>
    <t>Taux d'anomalies opérationnelles sur Gestion des changements et mises en production</t>
  </si>
  <si>
    <t>Formaliser les points de contrôle critiques, renforcer les rapprochements et fiabiliser les règles métier sur gestion des changements et mises en production.</t>
  </si>
  <si>
    <t>RSH-114</t>
  </si>
  <si>
    <t>Non-conformité réglementaire ou contractuelle dans Gestion des changements et mises en production</t>
  </si>
  <si>
    <t>Nombre d'exceptions de conformité sur Gestion des changements et mises en production</t>
  </si>
  <si>
    <t>Mettre à jour la procédure, documenter les preuves de conformité et intégrer gestion des changements et mises en production au plan de contrôle permanent.</t>
  </si>
  <si>
    <t>RSH-115</t>
  </si>
  <si>
    <t>Indisponibilité majeure, cyberattaque ou corruption applicative impactant Gestion des changements et mises en production</t>
  </si>
  <si>
    <t>Indisponibilité / incidents sécurité liés à Gestion des changements et mises en production</t>
  </si>
  <si>
    <t>Réduire les habilitations, tester la reprise et renforcer la supervision / journalisation sur gestion des changements et mises en production.</t>
  </si>
  <si>
    <t>RSH-116</t>
  </si>
  <si>
    <t>Fraude, surfacturation, anti-sélection ou perte financière liée à Gestion des changements et mises en production</t>
  </si>
  <si>
    <t>Montant ou cas atypiques détectés sur Gestion des changements et mises en production</t>
  </si>
  <si>
    <t>Renforcer les scénarios de détection, la revue analytique et les contrôles ciblés sur gestion des changements et mises en production.</t>
  </si>
  <si>
    <t>RSH-117</t>
  </si>
  <si>
    <t>Détection et réponse aux incidents cyber</t>
  </si>
  <si>
    <t>RSSI Opérations</t>
  </si>
  <si>
    <t>Erreur d'exécution ou de paramétrage sur Détection et réponse aux incidents cyber</t>
  </si>
  <si>
    <t>Taux d'anomalies opérationnelles sur Détection et réponse aux incidents cyber</t>
  </si>
  <si>
    <t>Formaliser les points de contrôle critiques, renforcer les rapprochements et fiabiliser les règles métier sur détection et réponse aux incidents cyber.</t>
  </si>
  <si>
    <t>RSH-118</t>
  </si>
  <si>
    <t>Non-conformité réglementaire ou contractuelle dans Détection et réponse aux incidents cyber</t>
  </si>
  <si>
    <t>Nombre d'exceptions de conformité sur Détection et réponse aux incidents cyber</t>
  </si>
  <si>
    <t>Mettre à jour la procédure, documenter les preuves de conformité et intégrer détection et réponse aux incidents cyber au plan de contrôle permanent.</t>
  </si>
  <si>
    <t>RSH-119</t>
  </si>
  <si>
    <t>Indisponibilité majeure, cyberattaque ou corruption applicative impactant Détection et réponse aux incidents cyber</t>
  </si>
  <si>
    <t>Indisponibilité / incidents sécurité liés à Détection et réponse aux incidents cyber</t>
  </si>
  <si>
    <t>Réduire les habilitations, tester la reprise et renforcer la supervision / journalisation sur détection et réponse aux incidents cyber.</t>
  </si>
  <si>
    <t>RSH-120</t>
  </si>
  <si>
    <t>Fraude, surfacturation, anti-sélection ou perte financière liée à Détection et réponse aux incidents cyber</t>
  </si>
  <si>
    <t>Montant ou cas atypiques détectés sur Détection et réponse aux incidents cyber</t>
  </si>
  <si>
    <t>Renforcer les scénarios de détection, la revue analytique et les contrôles ciblés sur détection et réponse aux incidents cyber.</t>
  </si>
  <si>
    <t>Synthèse de la cartographie – Assurance santé</t>
  </si>
  <si>
    <t>Indicateurs globaux</t>
  </si>
  <si>
    <t>Indicateur</t>
  </si>
  <si>
    <t>Valeur</t>
  </si>
  <si>
    <t>Nombre total de risques</t>
  </si>
  <si>
    <t>Nombre de directions</t>
  </si>
  <si>
    <t>Nombre de processus</t>
  </si>
  <si>
    <t>Risques bruts critiques</t>
  </si>
  <si>
    <t>Risques résiduels critiques</t>
  </si>
  <si>
    <t>Risques hors appétit</t>
  </si>
  <si>
    <t>Pertes synthétiques 12m (EUR)</t>
  </si>
  <si>
    <t>Population potentiellement impactable</t>
  </si>
  <si>
    <t>Répartition par direction</t>
  </si>
  <si>
    <t>Nb risques</t>
  </si>
  <si>
    <t>Score brut moyen</t>
  </si>
  <si>
    <t>Score résiduel moyen</t>
  </si>
  <si>
    <t>Top 10 processus (liste)</t>
  </si>
  <si>
    <t>Critiques résiduels</t>
  </si>
  <si>
    <t>Pertes 12m</t>
  </si>
  <si>
    <t>Ameli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</si>
</sst>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1"/>
      <color theme="1"/>
      <name val="Calibri"/>
      <family val="2"/>
      <scheme val="minor"/>
    </font>
    <font>
      <b/>
      <sz val="16"/>
      <color rgb="FF1F4E78"/>
      <name val="Calibri"/>
      <family val="2"/>
    </font>
    <font>
      <b/>
      <sz val="11"/>
      <color rgb="FF1F4E78"/>
      <name val="Calibri"/>
      <family val="2"/>
    </font>
    <font>
      <b/>
      <sz val="15"/>
      <color rgb="FF1F4E78"/>
      <name val="Calibri"/>
      <family val="2"/>
    </font>
    <font>
      <b/>
      <sz val="11"/>
      <color rgb="FFFFFFFF"/>
      <name val="Calibri"/>
      <family val="2"/>
    </font>
    <font>
      <sz val="11"/>
      <color rgb="FF0000FF"/>
      <name val="Calibri"/>
      <family val="2"/>
    </font>
  </fonts>
  <fills count="11">
    <fill>
      <patternFill patternType="none"/>
    </fill>
    <fill>
      <patternFill patternType="gray125"/>
    </fill>
    <fill>
      <patternFill patternType="solid">
        <fgColor rgb="FF1F4E78"/>
      </patternFill>
    </fill>
    <fill>
      <patternFill patternType="solid">
        <fgColor rgb="FFEDF4FB"/>
      </patternFill>
    </fill>
    <fill>
      <patternFill patternType="solid">
        <fgColor rgb="FFE4DFEC"/>
      </patternFill>
    </fill>
    <fill>
      <patternFill patternType="solid">
        <fgColor rgb="FFDDEBF7"/>
      </patternFill>
    </fill>
    <fill>
      <patternFill patternType="solid">
        <fgColor rgb="FFD9EAF7"/>
      </patternFill>
    </fill>
    <fill>
      <patternFill patternType="solid">
        <fgColor rgb="FFE2F0D9"/>
      </patternFill>
    </fill>
    <fill>
      <patternFill patternType="solid">
        <fgColor rgb="FFFDE9E7"/>
      </patternFill>
    </fill>
    <fill>
      <patternFill patternType="solid">
        <fgColor rgb="FFFCE4D6"/>
      </patternFill>
    </fill>
    <fill>
      <patternFill patternType="solid">
        <fgColor rgb="FFE7E6E6"/>
      </patternFill>
    </fill>
  </fills>
  <borders count="1">
    <border>
      <left/>
      <right/>
      <top/>
      <bottom/>
      <diagonal/>
    </border>
  </borders>
  <cellStyleXfs count="1">
    <xf numFmtId="0" fontId="0" fillId="0" borderId="0"/>
  </cellStyleXfs>
  <cellXfs count="21">
    <xf numFmtId="0" fontId="0" fillId="0" borderId="0" xfId="0"/>
    <xf numFmtId="0" fontId="2" fillId="0" borderId="0" xfId="0" applyFont="1"/>
    <xf numFmtId="0" fontId="0" fillId="0" borderId="0" xfId="0" applyAlignment="1">
      <alignment vertical="top" wrapText="1"/>
    </xf>
    <xf numFmtId="0" fontId="4" fillId="2" borderId="0" xfId="0" applyFont="1" applyFill="1" applyAlignment="1">
      <alignment horizontal="center" vertical="center" wrapText="1"/>
    </xf>
    <xf numFmtId="0" fontId="0" fillId="5" borderId="0" xfId="0" applyFill="1"/>
    <xf numFmtId="0" fontId="5" fillId="5" borderId="0" xfId="0" applyFont="1" applyFill="1"/>
    <xf numFmtId="0" fontId="5" fillId="3" borderId="0" xfId="0" applyFont="1" applyFill="1"/>
    <xf numFmtId="0" fontId="0" fillId="4" borderId="0" xfId="0" applyFill="1" applyAlignment="1">
      <alignment vertical="top" wrapText="1"/>
    </xf>
    <xf numFmtId="0" fontId="0" fillId="4" borderId="0" xfId="0" applyFill="1"/>
    <xf numFmtId="0" fontId="0" fillId="6" borderId="0" xfId="0" applyFill="1"/>
    <xf numFmtId="0" fontId="0" fillId="7" borderId="0" xfId="0" applyFill="1"/>
    <xf numFmtId="164" fontId="0" fillId="0" borderId="0" xfId="0" applyNumberFormat="1"/>
    <xf numFmtId="3" fontId="5" fillId="3" borderId="0" xfId="0" applyNumberFormat="1" applyFont="1" applyFill="1"/>
    <xf numFmtId="0" fontId="0" fillId="8" borderId="0" xfId="0" applyFill="1"/>
    <xf numFmtId="0" fontId="0" fillId="9" borderId="0" xfId="0" applyFill="1"/>
    <xf numFmtId="0" fontId="0" fillId="10" borderId="0" xfId="0" applyFill="1" applyAlignment="1">
      <alignment vertical="top" wrapText="1"/>
    </xf>
    <xf numFmtId="3" fontId="0" fillId="0" borderId="0" xfId="0" applyNumberFormat="1"/>
    <xf numFmtId="0" fontId="0" fillId="0" borderId="0" xfId="0" applyAlignment="1">
      <alignment vertical="top" wrapText="1"/>
    </xf>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Methodo" displayName="tblMethodo" ref="A3:E15">
  <autoFilter ref="A3:E15" xr:uid="{00000000-0009-0000-0100-000001000000}"/>
  <tableColumns count="5">
    <tableColumn id="1" xr3:uid="{00000000-0010-0000-0000-000001000000}" name="Bloc"/>
    <tableColumn id="2" xr3:uid="{00000000-0010-0000-0000-000002000000}" name="Champ"/>
    <tableColumn id="3" xr3:uid="{00000000-0010-0000-0000-000003000000}" name="Règle"/>
    <tableColumn id="4" xr3:uid="{00000000-0010-0000-0000-000004000000}" name="Commentaire"/>
    <tableColumn id="5" xr3:uid="{00000000-0010-0000-0000-000005000000}" name="Source / Référ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Dictionnaire" displayName="tblDictionnaire" ref="A1:D47">
  <autoFilter ref="A1:D47" xr:uid="{00000000-0009-0000-0100-000002000000}"/>
  <tableColumns count="4">
    <tableColumn id="1" xr3:uid="{00000000-0010-0000-0100-000001000000}" name="Champ"/>
    <tableColumn id="2" xr3:uid="{00000000-0010-0000-0100-000002000000}" name="Définition"/>
    <tableColumn id="3" xr3:uid="{00000000-0010-0000-0100-000003000000}" name="Type"/>
    <tableColumn id="4" xr3:uid="{00000000-0010-0000-0100-000004000000}" name="Exempl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Sources" displayName="tblSources" ref="A1:D15">
  <autoFilter ref="A1:D15" xr:uid="{00000000-0009-0000-0100-000003000000}"/>
  <tableColumns count="4">
    <tableColumn id="1" xr3:uid="{00000000-0010-0000-0200-000001000000}" name="Organisme"/>
    <tableColumn id="2" xr3:uid="{00000000-0010-0000-0200-000002000000}" name="Sujet"/>
    <tableColumn id="3" xr3:uid="{00000000-0010-0000-0200-000003000000}" name="URL"/>
    <tableColumn id="4" xr3:uid="{00000000-0010-0000-0200-000004000000}" name="Utilisation dans le datase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Registre" displayName="tblRegistre" ref="A1:AT121">
  <autoFilter ref="A1:AT121" xr:uid="{00000000-0009-0000-0100-000004000000}"/>
  <tableColumns count="46">
    <tableColumn id="1" xr3:uid="{00000000-0010-0000-0300-000001000000}" name="Risk_ID"/>
    <tableColumn id="2" xr3:uid="{00000000-0010-0000-0300-000002000000}" name="Direction"/>
    <tableColumn id="3" xr3:uid="{00000000-0010-0000-0300-000003000000}" name="Processus"/>
    <tableColumn id="4" xr3:uid="{00000000-0010-0000-0300-000004000000}" name="Sous_processus"/>
    <tableColumn id="5" xr3:uid="{00000000-0010-0000-0300-000005000000}" name="Process_Owner"/>
    <tableColumn id="6" xr3:uid="{00000000-0010-0000-0300-000006000000}" name="Risk_Owner"/>
    <tableColumn id="7" xr3:uid="{00000000-0010-0000-0300-000007000000}" name="Control_Owner"/>
    <tableColumn id="8" xr3:uid="{00000000-0010-0000-0300-000008000000}" name="Famille_de_risque"/>
    <tableColumn id="9" xr3:uid="{00000000-0010-0000-0300-000009000000}" name="Theme_reglementaire"/>
    <tableColumn id="10" xr3:uid="{00000000-0010-0000-0300-00000A000000}" name="Description_du_risque"/>
    <tableColumn id="11" xr3:uid="{00000000-0010-0000-0300-00000B000000}" name="Scenario_de_risque"/>
    <tableColumn id="12" xr3:uid="{00000000-0010-0000-0300-00000C000000}" name="Cause_racine"/>
    <tableColumn id="13" xr3:uid="{00000000-0010-0000-0300-00000D000000}" name="Consequences_potentielles"/>
    <tableColumn id="14" xr3:uid="{00000000-0010-0000-0300-00000E000000}" name="KRI_nom"/>
    <tableColumn id="15" xr3:uid="{00000000-0010-0000-0300-00000F000000}" name="Unite_KRI"/>
    <tableColumn id="16" xr3:uid="{00000000-0010-0000-0300-000010000000}" name="Seuil_vert"/>
    <tableColumn id="17" xr3:uid="{00000000-0010-0000-0300-000011000000}" name="Seuil_orange"/>
    <tableColumn id="18" xr3:uid="{00000000-0010-0000-0300-000012000000}" name="Seuil_rouge"/>
    <tableColumn id="19" xr3:uid="{00000000-0010-0000-0300-000013000000}" name="Valeur_actuelle_KRI"/>
    <tableColumn id="20" xr3:uid="{00000000-0010-0000-0300-000014000000}" name="Probabilite_brute"/>
    <tableColumn id="21" xr3:uid="{00000000-0010-0000-0300-000015000000}" name="Impact_brut"/>
    <tableColumn id="22" xr3:uid="{00000000-0010-0000-0300-000016000000}" name="Score_brut"/>
    <tableColumn id="23" xr3:uid="{00000000-0010-0000-0300-000017000000}" name="Niveau_brut"/>
    <tableColumn id="24" xr3:uid="{00000000-0010-0000-0300-000018000000}" name="Controle_cle"/>
    <tableColumn id="25" xr3:uid="{00000000-0010-0000-0300-000019000000}" name="Type_de_controle"/>
    <tableColumn id="26" xr3:uid="{00000000-0010-0000-0300-00001A000000}" name="Frequence_controle"/>
    <tableColumn id="27" xr3:uid="{00000000-0010-0000-0300-00001B000000}" name="Efficacite_controle"/>
    <tableColumn id="28" xr3:uid="{00000000-0010-0000-0300-00001C000000}" name="Probabilite_residuelle"/>
    <tableColumn id="29" xr3:uid="{00000000-0010-0000-0300-00001D000000}" name="Impact_residuel"/>
    <tableColumn id="30" xr3:uid="{00000000-0010-0000-0300-00001E000000}" name="Score_residuel"/>
    <tableColumn id="31" xr3:uid="{00000000-0010-0000-0300-00001F000000}" name="Niveau_residuel"/>
    <tableColumn id="32" xr3:uid="{00000000-0010-0000-0300-000020000000}" name="Appetit_au_risque"/>
    <tableColumn id="33" xr3:uid="{00000000-0010-0000-0300-000021000000}" name="Statut_vs_appetit"/>
    <tableColumn id="34" xr3:uid="{00000000-0010-0000-0300-000022000000}" name="Strategie_de_traitement"/>
    <tableColumn id="35" xr3:uid="{00000000-0010-0000-0300-000023000000}" name="Plan_d_action"/>
    <tableColumn id="36" xr3:uid="{00000000-0010-0000-0300-000024000000}" name="Action_owner"/>
    <tableColumn id="37" xr3:uid="{00000000-0010-0000-0300-000025000000}" name="Echeance_action"/>
    <tableColumn id="38" xr3:uid="{00000000-0010-0000-0300-000026000000}" name="Statut_action"/>
    <tableColumn id="39" xr3:uid="{00000000-0010-0000-0300-000027000000}" name="Derniere_revue"/>
    <tableColumn id="40" xr3:uid="{00000000-0010-0000-0300-000028000000}" name="Frequence_revue"/>
    <tableColumn id="41" xr3:uid="{00000000-0010-0000-0300-000029000000}" name="Incidents_12m"/>
    <tableColumn id="42" xr3:uid="{00000000-0010-0000-0300-00002A000000}" name="Pertes_12m_EUR"/>
    <tableColumn id="43" xr3:uid="{00000000-0010-0000-0300-00002B000000}" name="Population_affectee_potentielle"/>
    <tableColumn id="44" xr3:uid="{00000000-0010-0000-0300-00002C000000}" name="Reference_reglementaire"/>
    <tableColumn id="45" xr3:uid="{00000000-0010-0000-0300-00002D000000}" name="Justification_sectorielle"/>
    <tableColumn id="46" xr3:uid="{00000000-0010-0000-0300-00002E000000}" name="Commentaire_datase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4.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workbookViewId="0">
      <selection sqref="A1:H1"/>
    </sheetView>
  </sheetViews>
  <sheetFormatPr baseColWidth="10" defaultColWidth="8.83203125" defaultRowHeight="15" x14ac:dyDescent="0.2"/>
  <cols>
    <col min="1" max="1" width="28" customWidth="1"/>
    <col min="2" max="2" width="24" customWidth="1"/>
    <col min="3" max="8" width="20" customWidth="1"/>
  </cols>
  <sheetData>
    <row r="1" spans="1:8" ht="21" x14ac:dyDescent="0.25">
      <c r="A1" s="19" t="s">
        <v>0</v>
      </c>
      <c r="B1" s="18"/>
      <c r="C1" s="18"/>
      <c r="D1" s="18"/>
      <c r="E1" s="18"/>
      <c r="F1" s="18"/>
      <c r="G1" s="18"/>
      <c r="H1" s="18"/>
    </row>
    <row r="3" spans="1:8" x14ac:dyDescent="0.2">
      <c r="A3" s="1" t="s">
        <v>1</v>
      </c>
      <c r="B3" s="17" t="s">
        <v>2</v>
      </c>
      <c r="C3" s="18"/>
      <c r="D3" s="18"/>
      <c r="E3" s="18"/>
      <c r="F3" s="18"/>
      <c r="G3" s="18"/>
      <c r="H3" s="18"/>
    </row>
    <row r="4" spans="1:8" x14ac:dyDescent="0.2">
      <c r="A4" s="1" t="s">
        <v>3</v>
      </c>
      <c r="B4" s="17" t="s">
        <v>4</v>
      </c>
      <c r="C4" s="18"/>
      <c r="D4" s="18"/>
      <c r="E4" s="18"/>
      <c r="F4" s="18"/>
      <c r="G4" s="18"/>
      <c r="H4" s="18"/>
    </row>
    <row r="5" spans="1:8" x14ac:dyDescent="0.2">
      <c r="A5" s="1" t="s">
        <v>5</v>
      </c>
      <c r="B5" s="17" t="s">
        <v>6</v>
      </c>
      <c r="C5" s="18"/>
      <c r="D5" s="18"/>
      <c r="E5" s="18"/>
      <c r="F5" s="18"/>
      <c r="G5" s="18"/>
      <c r="H5" s="18"/>
    </row>
    <row r="6" spans="1:8" x14ac:dyDescent="0.2">
      <c r="A6" s="1" t="s">
        <v>7</v>
      </c>
      <c r="B6" s="17" t="s">
        <v>8</v>
      </c>
      <c r="C6" s="18"/>
      <c r="D6" s="18"/>
      <c r="E6" s="18"/>
      <c r="F6" s="18"/>
      <c r="G6" s="18"/>
      <c r="H6" s="18"/>
    </row>
    <row r="7" spans="1:8" x14ac:dyDescent="0.2">
      <c r="A7" s="1" t="s">
        <v>9</v>
      </c>
      <c r="B7" s="17" t="s">
        <v>10</v>
      </c>
      <c r="C7" s="18"/>
      <c r="D7" s="18"/>
      <c r="E7" s="18"/>
      <c r="F7" s="18"/>
      <c r="G7" s="18"/>
      <c r="H7" s="18"/>
    </row>
    <row r="8" spans="1:8" x14ac:dyDescent="0.2">
      <c r="A8" s="1" t="s">
        <v>11</v>
      </c>
      <c r="B8" s="17" t="s">
        <v>12</v>
      </c>
      <c r="C8" s="18"/>
      <c r="D8" s="18"/>
      <c r="E8" s="18"/>
      <c r="F8" s="18"/>
      <c r="G8" s="18"/>
      <c r="H8" s="18"/>
    </row>
    <row r="11" spans="1:8" x14ac:dyDescent="0.2">
      <c r="A11" s="1" t="s">
        <v>13</v>
      </c>
    </row>
    <row r="12" spans="1:8" x14ac:dyDescent="0.2">
      <c r="A12" t="s">
        <v>14</v>
      </c>
    </row>
    <row r="13" spans="1:8" x14ac:dyDescent="0.2">
      <c r="A13" t="s">
        <v>15</v>
      </c>
    </row>
    <row r="14" spans="1:8" x14ac:dyDescent="0.2">
      <c r="A14" t="s">
        <v>16</v>
      </c>
    </row>
    <row r="15" spans="1:8" x14ac:dyDescent="0.2">
      <c r="A15" t="s">
        <v>17</v>
      </c>
    </row>
    <row r="16" spans="1:8" x14ac:dyDescent="0.2">
      <c r="A16" t="s">
        <v>18</v>
      </c>
    </row>
    <row r="17" spans="1:1" x14ac:dyDescent="0.2">
      <c r="A17" t="s">
        <v>19</v>
      </c>
    </row>
  </sheetData>
  <mergeCells count="7">
    <mergeCell ref="B8:H8"/>
    <mergeCell ref="B4:H4"/>
    <mergeCell ref="B6:H6"/>
    <mergeCell ref="B7:H7"/>
    <mergeCell ref="A1:H1"/>
    <mergeCell ref="B3:H3"/>
    <mergeCell ref="B5:H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workbookViewId="0">
      <selection activeCell="D23" sqref="D23"/>
    </sheetView>
  </sheetViews>
  <sheetFormatPr baseColWidth="10" defaultColWidth="8.83203125" defaultRowHeight="15" x14ac:dyDescent="0.2"/>
  <cols>
    <col min="1" max="1" width="18" customWidth="1"/>
    <col min="2" max="2" width="26" customWidth="1"/>
    <col min="3" max="3" width="52" customWidth="1"/>
    <col min="4" max="4" width="63.1640625" customWidth="1"/>
    <col min="5" max="5" width="25" customWidth="1"/>
  </cols>
  <sheetData>
    <row r="1" spans="1:7" ht="20" x14ac:dyDescent="0.25">
      <c r="A1" s="20" t="s">
        <v>20</v>
      </c>
      <c r="B1" s="18"/>
      <c r="C1" s="18"/>
      <c r="D1" s="18"/>
      <c r="E1" s="18"/>
      <c r="F1" s="18"/>
      <c r="G1" s="18"/>
    </row>
    <row r="3" spans="1:7" ht="16" x14ac:dyDescent="0.2">
      <c r="A3" s="3" t="s">
        <v>21</v>
      </c>
      <c r="B3" s="3" t="s">
        <v>22</v>
      </c>
      <c r="C3" s="3" t="s">
        <v>23</v>
      </c>
      <c r="D3" s="3" t="s">
        <v>24</v>
      </c>
      <c r="E3" s="3" t="s">
        <v>25</v>
      </c>
    </row>
    <row r="4" spans="1:7" x14ac:dyDescent="0.2">
      <c r="A4" t="s">
        <v>26</v>
      </c>
      <c r="B4" t="s">
        <v>27</v>
      </c>
      <c r="C4" t="s">
        <v>28</v>
      </c>
      <c r="D4" t="s">
        <v>29</v>
      </c>
      <c r="E4" t="s">
        <v>30</v>
      </c>
    </row>
    <row r="5" spans="1:7" x14ac:dyDescent="0.2">
      <c r="A5" t="s">
        <v>31</v>
      </c>
      <c r="B5" t="s">
        <v>32</v>
      </c>
      <c r="C5" t="s">
        <v>33</v>
      </c>
      <c r="D5" t="s">
        <v>34</v>
      </c>
      <c r="E5" t="s">
        <v>35</v>
      </c>
    </row>
    <row r="6" spans="1:7" x14ac:dyDescent="0.2">
      <c r="A6" t="s">
        <v>36</v>
      </c>
      <c r="B6" t="s">
        <v>37</v>
      </c>
      <c r="C6" t="s">
        <v>38</v>
      </c>
      <c r="D6" t="s">
        <v>39</v>
      </c>
      <c r="E6" t="s">
        <v>40</v>
      </c>
    </row>
    <row r="7" spans="1:7" x14ac:dyDescent="0.2">
      <c r="A7" t="s">
        <v>41</v>
      </c>
      <c r="B7" t="s">
        <v>42</v>
      </c>
      <c r="C7" t="s">
        <v>43</v>
      </c>
      <c r="D7" t="s">
        <v>44</v>
      </c>
      <c r="E7" t="s">
        <v>45</v>
      </c>
    </row>
    <row r="8" spans="1:7" x14ac:dyDescent="0.2">
      <c r="A8" t="s">
        <v>41</v>
      </c>
      <c r="B8" t="s">
        <v>46</v>
      </c>
      <c r="C8" t="s">
        <v>47</v>
      </c>
      <c r="D8" t="s">
        <v>44</v>
      </c>
      <c r="E8" t="s">
        <v>45</v>
      </c>
    </row>
    <row r="9" spans="1:7" x14ac:dyDescent="0.2">
      <c r="A9" t="s">
        <v>48</v>
      </c>
      <c r="B9" t="s">
        <v>49</v>
      </c>
      <c r="C9" t="s">
        <v>50</v>
      </c>
      <c r="D9" t="s">
        <v>51</v>
      </c>
      <c r="E9" t="s">
        <v>45</v>
      </c>
    </row>
    <row r="10" spans="1:7" x14ac:dyDescent="0.2">
      <c r="A10" t="s">
        <v>52</v>
      </c>
      <c r="B10" t="s">
        <v>53</v>
      </c>
      <c r="C10" t="s">
        <v>54</v>
      </c>
      <c r="D10" t="s">
        <v>55</v>
      </c>
      <c r="E10" t="s">
        <v>56</v>
      </c>
    </row>
    <row r="11" spans="1:7" x14ac:dyDescent="0.2">
      <c r="A11" t="s">
        <v>52</v>
      </c>
      <c r="B11" t="s">
        <v>57</v>
      </c>
      <c r="C11" t="s">
        <v>58</v>
      </c>
      <c r="D11" t="s">
        <v>59</v>
      </c>
      <c r="E11" t="s">
        <v>60</v>
      </c>
    </row>
    <row r="12" spans="1:7" x14ac:dyDescent="0.2">
      <c r="A12" t="s">
        <v>52</v>
      </c>
      <c r="B12" t="s">
        <v>61</v>
      </c>
      <c r="C12" t="s">
        <v>62</v>
      </c>
      <c r="D12" t="s">
        <v>63</v>
      </c>
      <c r="E12" t="s">
        <v>64</v>
      </c>
    </row>
    <row r="13" spans="1:7" x14ac:dyDescent="0.2">
      <c r="A13" t="s">
        <v>52</v>
      </c>
      <c r="B13" t="s">
        <v>65</v>
      </c>
      <c r="C13" t="s">
        <v>66</v>
      </c>
      <c r="D13" t="s">
        <v>67</v>
      </c>
      <c r="E13" t="s">
        <v>954</v>
      </c>
    </row>
    <row r="14" spans="1:7" x14ac:dyDescent="0.2">
      <c r="A14" t="s">
        <v>69</v>
      </c>
      <c r="B14" t="s">
        <v>70</v>
      </c>
      <c r="C14" t="s">
        <v>71</v>
      </c>
      <c r="D14" t="s">
        <v>72</v>
      </c>
      <c r="E14" t="s">
        <v>45</v>
      </c>
    </row>
    <row r="15" spans="1:7" x14ac:dyDescent="0.2">
      <c r="A15" t="s">
        <v>69</v>
      </c>
      <c r="B15" t="s">
        <v>73</v>
      </c>
      <c r="C15" t="s">
        <v>74</v>
      </c>
      <c r="D15" t="s">
        <v>75</v>
      </c>
      <c r="E15" t="s">
        <v>45</v>
      </c>
    </row>
  </sheetData>
  <mergeCells count="1">
    <mergeCell ref="A1:G1"/>
  </mergeCell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47"/>
  <sheetViews>
    <sheetView workbookViewId="0"/>
  </sheetViews>
  <sheetFormatPr baseColWidth="10" defaultColWidth="8.83203125" defaultRowHeight="15" x14ac:dyDescent="0.2"/>
  <cols>
    <col min="1" max="1" width="28" customWidth="1"/>
    <col min="2" max="2" width="52" customWidth="1"/>
    <col min="3" max="3" width="18" customWidth="1"/>
    <col min="4" max="4" width="36" customWidth="1"/>
  </cols>
  <sheetData>
    <row r="1" spans="1:4" ht="16" x14ac:dyDescent="0.2">
      <c r="A1" s="3" t="s">
        <v>22</v>
      </c>
      <c r="B1" s="3" t="s">
        <v>76</v>
      </c>
      <c r="C1" s="3" t="s">
        <v>77</v>
      </c>
      <c r="D1" s="3" t="s">
        <v>78</v>
      </c>
    </row>
    <row r="2" spans="1:4" x14ac:dyDescent="0.2">
      <c r="A2" t="s">
        <v>79</v>
      </c>
      <c r="B2" t="s">
        <v>80</v>
      </c>
      <c r="C2" t="s">
        <v>81</v>
      </c>
      <c r="D2" t="s">
        <v>82</v>
      </c>
    </row>
    <row r="3" spans="1:4" x14ac:dyDescent="0.2">
      <c r="A3" t="s">
        <v>83</v>
      </c>
      <c r="B3" t="s">
        <v>84</v>
      </c>
      <c r="C3" t="s">
        <v>85</v>
      </c>
      <c r="D3" t="s">
        <v>86</v>
      </c>
    </row>
    <row r="4" spans="1:4" x14ac:dyDescent="0.2">
      <c r="A4" t="s">
        <v>87</v>
      </c>
      <c r="B4" t="s">
        <v>88</v>
      </c>
      <c r="C4" t="s">
        <v>85</v>
      </c>
      <c r="D4" t="s">
        <v>89</v>
      </c>
    </row>
    <row r="5" spans="1:4" x14ac:dyDescent="0.2">
      <c r="A5" t="s">
        <v>90</v>
      </c>
      <c r="B5" t="s">
        <v>91</v>
      </c>
      <c r="C5" t="s">
        <v>81</v>
      </c>
      <c r="D5" t="s">
        <v>92</v>
      </c>
    </row>
    <row r="6" spans="1:4" x14ac:dyDescent="0.2">
      <c r="A6" t="s">
        <v>93</v>
      </c>
      <c r="B6" t="s">
        <v>94</v>
      </c>
      <c r="C6" t="s">
        <v>81</v>
      </c>
      <c r="D6" t="s">
        <v>95</v>
      </c>
    </row>
    <row r="7" spans="1:4" x14ac:dyDescent="0.2">
      <c r="A7" t="s">
        <v>96</v>
      </c>
      <c r="B7" t="s">
        <v>97</v>
      </c>
      <c r="C7" t="s">
        <v>81</v>
      </c>
      <c r="D7" t="s">
        <v>98</v>
      </c>
    </row>
    <row r="8" spans="1:4" x14ac:dyDescent="0.2">
      <c r="A8" t="s">
        <v>99</v>
      </c>
      <c r="B8" t="s">
        <v>100</v>
      </c>
      <c r="C8" t="s">
        <v>81</v>
      </c>
      <c r="D8" t="s">
        <v>101</v>
      </c>
    </row>
    <row r="9" spans="1:4" x14ac:dyDescent="0.2">
      <c r="A9" t="s">
        <v>102</v>
      </c>
      <c r="B9" t="s">
        <v>103</v>
      </c>
      <c r="C9" t="s">
        <v>85</v>
      </c>
      <c r="D9" t="s">
        <v>104</v>
      </c>
    </row>
    <row r="10" spans="1:4" x14ac:dyDescent="0.2">
      <c r="A10" t="s">
        <v>105</v>
      </c>
      <c r="B10" t="s">
        <v>106</v>
      </c>
      <c r="C10" t="s">
        <v>81</v>
      </c>
      <c r="D10" t="s">
        <v>107</v>
      </c>
    </row>
    <row r="11" spans="1:4" x14ac:dyDescent="0.2">
      <c r="A11" t="s">
        <v>108</v>
      </c>
      <c r="B11" t="s">
        <v>109</v>
      </c>
      <c r="C11" t="s">
        <v>81</v>
      </c>
      <c r="D11" t="s">
        <v>110</v>
      </c>
    </row>
    <row r="12" spans="1:4" x14ac:dyDescent="0.2">
      <c r="A12" t="s">
        <v>111</v>
      </c>
      <c r="B12" t="s">
        <v>112</v>
      </c>
      <c r="C12" t="s">
        <v>81</v>
      </c>
      <c r="D12" t="s">
        <v>113</v>
      </c>
    </row>
    <row r="13" spans="1:4" x14ac:dyDescent="0.2">
      <c r="A13" t="s">
        <v>114</v>
      </c>
      <c r="B13" t="s">
        <v>115</v>
      </c>
      <c r="C13" t="s">
        <v>81</v>
      </c>
      <c r="D13" t="s">
        <v>116</v>
      </c>
    </row>
    <row r="14" spans="1:4" x14ac:dyDescent="0.2">
      <c r="A14" t="s">
        <v>117</v>
      </c>
      <c r="B14" t="s">
        <v>118</v>
      </c>
      <c r="C14" t="s">
        <v>81</v>
      </c>
      <c r="D14" t="s">
        <v>119</v>
      </c>
    </row>
    <row r="15" spans="1:4" x14ac:dyDescent="0.2">
      <c r="A15" t="s">
        <v>120</v>
      </c>
      <c r="B15" t="s">
        <v>121</v>
      </c>
      <c r="C15" t="s">
        <v>81</v>
      </c>
      <c r="D15" t="s">
        <v>122</v>
      </c>
    </row>
    <row r="16" spans="1:4" x14ac:dyDescent="0.2">
      <c r="A16" t="s">
        <v>123</v>
      </c>
      <c r="B16" t="s">
        <v>124</v>
      </c>
      <c r="C16" t="s">
        <v>81</v>
      </c>
      <c r="D16" t="s">
        <v>125</v>
      </c>
    </row>
    <row r="17" spans="1:4" x14ac:dyDescent="0.2">
      <c r="A17" t="s">
        <v>126</v>
      </c>
      <c r="B17" t="s">
        <v>127</v>
      </c>
      <c r="C17" t="s">
        <v>128</v>
      </c>
      <c r="D17" t="s">
        <v>129</v>
      </c>
    </row>
    <row r="18" spans="1:4" x14ac:dyDescent="0.2">
      <c r="A18" t="s">
        <v>130</v>
      </c>
      <c r="B18" t="s">
        <v>131</v>
      </c>
      <c r="C18" t="s">
        <v>128</v>
      </c>
      <c r="D18" t="s">
        <v>132</v>
      </c>
    </row>
    <row r="19" spans="1:4" x14ac:dyDescent="0.2">
      <c r="A19" t="s">
        <v>133</v>
      </c>
      <c r="B19" t="s">
        <v>134</v>
      </c>
      <c r="C19" t="s">
        <v>128</v>
      </c>
      <c r="D19" t="s">
        <v>135</v>
      </c>
    </row>
    <row r="20" spans="1:4" x14ac:dyDescent="0.2">
      <c r="A20" t="s">
        <v>136</v>
      </c>
      <c r="B20" t="s">
        <v>137</v>
      </c>
      <c r="C20" t="s">
        <v>128</v>
      </c>
      <c r="D20" t="s">
        <v>138</v>
      </c>
    </row>
    <row r="21" spans="1:4" x14ac:dyDescent="0.2">
      <c r="A21" t="s">
        <v>139</v>
      </c>
      <c r="B21" t="s">
        <v>140</v>
      </c>
      <c r="C21" t="s">
        <v>141</v>
      </c>
      <c r="D21" t="s">
        <v>142</v>
      </c>
    </row>
    <row r="22" spans="1:4" x14ac:dyDescent="0.2">
      <c r="A22" t="s">
        <v>143</v>
      </c>
      <c r="B22" t="s">
        <v>144</v>
      </c>
      <c r="C22" t="s">
        <v>141</v>
      </c>
      <c r="D22" t="s">
        <v>145</v>
      </c>
    </row>
    <row r="23" spans="1:4" x14ac:dyDescent="0.2">
      <c r="A23" t="s">
        <v>146</v>
      </c>
      <c r="B23" t="s">
        <v>147</v>
      </c>
      <c r="C23" t="s">
        <v>41</v>
      </c>
      <c r="D23" t="s">
        <v>148</v>
      </c>
    </row>
    <row r="24" spans="1:4" x14ac:dyDescent="0.2">
      <c r="A24" t="s">
        <v>149</v>
      </c>
      <c r="B24" t="s">
        <v>150</v>
      </c>
      <c r="C24" t="s">
        <v>41</v>
      </c>
      <c r="D24" t="s">
        <v>151</v>
      </c>
    </row>
    <row r="25" spans="1:4" x14ac:dyDescent="0.2">
      <c r="A25" t="s">
        <v>152</v>
      </c>
      <c r="B25" t="s">
        <v>153</v>
      </c>
      <c r="C25" t="s">
        <v>81</v>
      </c>
      <c r="D25" t="s">
        <v>154</v>
      </c>
    </row>
    <row r="26" spans="1:4" x14ac:dyDescent="0.2">
      <c r="A26" t="s">
        <v>155</v>
      </c>
      <c r="B26" t="s">
        <v>156</v>
      </c>
      <c r="C26" t="s">
        <v>85</v>
      </c>
      <c r="D26" t="s">
        <v>157</v>
      </c>
    </row>
    <row r="27" spans="1:4" x14ac:dyDescent="0.2">
      <c r="A27" t="s">
        <v>158</v>
      </c>
      <c r="B27" t="s">
        <v>159</v>
      </c>
      <c r="C27" t="s">
        <v>85</v>
      </c>
      <c r="D27" t="s">
        <v>160</v>
      </c>
    </row>
    <row r="28" spans="1:4" x14ac:dyDescent="0.2">
      <c r="A28" t="s">
        <v>161</v>
      </c>
      <c r="B28" t="s">
        <v>162</v>
      </c>
      <c r="C28" t="s">
        <v>85</v>
      </c>
      <c r="D28" t="s">
        <v>163</v>
      </c>
    </row>
    <row r="29" spans="1:4" x14ac:dyDescent="0.2">
      <c r="A29" t="s">
        <v>164</v>
      </c>
      <c r="B29" t="s">
        <v>165</v>
      </c>
      <c r="C29" t="s">
        <v>141</v>
      </c>
      <c r="D29" t="s">
        <v>166</v>
      </c>
    </row>
    <row r="30" spans="1:4" x14ac:dyDescent="0.2">
      <c r="A30" t="s">
        <v>167</v>
      </c>
      <c r="B30" t="s">
        <v>168</v>
      </c>
      <c r="C30" t="s">
        <v>141</v>
      </c>
      <c r="D30" t="s">
        <v>142</v>
      </c>
    </row>
    <row r="31" spans="1:4" x14ac:dyDescent="0.2">
      <c r="A31" t="s">
        <v>169</v>
      </c>
      <c r="B31" t="s">
        <v>170</v>
      </c>
      <c r="C31" t="s">
        <v>41</v>
      </c>
      <c r="D31" t="s">
        <v>171</v>
      </c>
    </row>
    <row r="32" spans="1:4" x14ac:dyDescent="0.2">
      <c r="A32" t="s">
        <v>172</v>
      </c>
      <c r="B32" t="s">
        <v>173</v>
      </c>
      <c r="C32" t="s">
        <v>41</v>
      </c>
      <c r="D32" t="s">
        <v>174</v>
      </c>
    </row>
    <row r="33" spans="1:4" x14ac:dyDescent="0.2">
      <c r="A33" t="s">
        <v>175</v>
      </c>
      <c r="B33" t="s">
        <v>176</v>
      </c>
      <c r="C33" t="s">
        <v>85</v>
      </c>
      <c r="D33" t="s">
        <v>177</v>
      </c>
    </row>
    <row r="34" spans="1:4" x14ac:dyDescent="0.2">
      <c r="A34" t="s">
        <v>178</v>
      </c>
      <c r="B34" t="s">
        <v>179</v>
      </c>
      <c r="C34" t="s">
        <v>41</v>
      </c>
      <c r="D34" t="s">
        <v>180</v>
      </c>
    </row>
    <row r="35" spans="1:4" x14ac:dyDescent="0.2">
      <c r="A35" t="s">
        <v>181</v>
      </c>
      <c r="B35" t="s">
        <v>182</v>
      </c>
      <c r="C35" t="s">
        <v>85</v>
      </c>
      <c r="D35" t="s">
        <v>183</v>
      </c>
    </row>
    <row r="36" spans="1:4" x14ac:dyDescent="0.2">
      <c r="A36" t="s">
        <v>184</v>
      </c>
      <c r="B36" t="s">
        <v>185</v>
      </c>
      <c r="C36" t="s">
        <v>81</v>
      </c>
      <c r="D36" t="s">
        <v>186</v>
      </c>
    </row>
    <row r="37" spans="1:4" x14ac:dyDescent="0.2">
      <c r="A37" t="s">
        <v>187</v>
      </c>
      <c r="B37" t="s">
        <v>188</v>
      </c>
      <c r="C37" t="s">
        <v>81</v>
      </c>
      <c r="D37" t="s">
        <v>189</v>
      </c>
    </row>
    <row r="38" spans="1:4" x14ac:dyDescent="0.2">
      <c r="A38" t="s">
        <v>190</v>
      </c>
      <c r="B38" t="s">
        <v>191</v>
      </c>
      <c r="C38" t="s">
        <v>192</v>
      </c>
      <c r="D38" t="s">
        <v>193</v>
      </c>
    </row>
    <row r="39" spans="1:4" x14ac:dyDescent="0.2">
      <c r="A39" t="s">
        <v>194</v>
      </c>
      <c r="B39" t="s">
        <v>195</v>
      </c>
      <c r="C39" t="s">
        <v>85</v>
      </c>
      <c r="D39" t="s">
        <v>196</v>
      </c>
    </row>
    <row r="40" spans="1:4" x14ac:dyDescent="0.2">
      <c r="A40" t="s">
        <v>197</v>
      </c>
      <c r="B40" t="s">
        <v>198</v>
      </c>
      <c r="C40" t="s">
        <v>192</v>
      </c>
      <c r="D40" t="s">
        <v>199</v>
      </c>
    </row>
    <row r="41" spans="1:4" x14ac:dyDescent="0.2">
      <c r="A41" t="s">
        <v>200</v>
      </c>
      <c r="B41" t="s">
        <v>201</v>
      </c>
      <c r="C41" t="s">
        <v>85</v>
      </c>
      <c r="D41" t="s">
        <v>202</v>
      </c>
    </row>
    <row r="42" spans="1:4" x14ac:dyDescent="0.2">
      <c r="A42" t="s">
        <v>203</v>
      </c>
      <c r="B42" t="s">
        <v>204</v>
      </c>
      <c r="C42" t="s">
        <v>141</v>
      </c>
      <c r="D42" t="s">
        <v>205</v>
      </c>
    </row>
    <row r="43" spans="1:4" x14ac:dyDescent="0.2">
      <c r="A43" t="s">
        <v>206</v>
      </c>
      <c r="B43" t="s">
        <v>207</v>
      </c>
      <c r="C43" t="s">
        <v>208</v>
      </c>
      <c r="D43" t="s">
        <v>209</v>
      </c>
    </row>
    <row r="44" spans="1:4" x14ac:dyDescent="0.2">
      <c r="A44" t="s">
        <v>210</v>
      </c>
      <c r="B44" t="s">
        <v>211</v>
      </c>
      <c r="C44" t="s">
        <v>141</v>
      </c>
      <c r="D44" t="s">
        <v>212</v>
      </c>
    </row>
    <row r="45" spans="1:4" x14ac:dyDescent="0.2">
      <c r="A45" t="s">
        <v>213</v>
      </c>
      <c r="B45" t="s">
        <v>214</v>
      </c>
      <c r="C45" t="s">
        <v>81</v>
      </c>
      <c r="D45" t="s">
        <v>215</v>
      </c>
    </row>
    <row r="46" spans="1:4" x14ac:dyDescent="0.2">
      <c r="A46" t="s">
        <v>216</v>
      </c>
      <c r="B46" t="s">
        <v>217</v>
      </c>
      <c r="C46" t="s">
        <v>81</v>
      </c>
      <c r="D46" t="s">
        <v>218</v>
      </c>
    </row>
    <row r="47" spans="1:4" x14ac:dyDescent="0.2">
      <c r="A47" t="s">
        <v>219</v>
      </c>
      <c r="B47" t="s">
        <v>220</v>
      </c>
      <c r="C47" t="s">
        <v>81</v>
      </c>
      <c r="D47" t="s">
        <v>221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5"/>
  <sheetViews>
    <sheetView workbookViewId="0"/>
  </sheetViews>
  <sheetFormatPr baseColWidth="10" defaultColWidth="8.83203125" defaultRowHeight="15" x14ac:dyDescent="0.2"/>
  <cols>
    <col min="1" max="1" width="14" customWidth="1"/>
    <col min="2" max="2" width="28" customWidth="1"/>
    <col min="3" max="3" width="129" customWidth="1"/>
    <col min="4" max="4" width="68" customWidth="1"/>
  </cols>
  <sheetData>
    <row r="1" spans="1:4" ht="16" x14ac:dyDescent="0.2">
      <c r="A1" s="3" t="s">
        <v>222</v>
      </c>
      <c r="B1" s="3" t="s">
        <v>223</v>
      </c>
      <c r="C1" s="3" t="s">
        <v>224</v>
      </c>
      <c r="D1" s="3" t="s">
        <v>225</v>
      </c>
    </row>
    <row r="2" spans="1:4" x14ac:dyDescent="0.2">
      <c r="A2" t="s">
        <v>60</v>
      </c>
      <c r="B2" t="s">
        <v>226</v>
      </c>
      <c r="C2" t="s">
        <v>227</v>
      </c>
      <c r="D2" t="s">
        <v>228</v>
      </c>
    </row>
    <row r="3" spans="1:4" x14ac:dyDescent="0.2">
      <c r="A3" t="s">
        <v>60</v>
      </c>
      <c r="B3" t="s">
        <v>229</v>
      </c>
      <c r="C3" t="s">
        <v>230</v>
      </c>
      <c r="D3" t="s">
        <v>231</v>
      </c>
    </row>
    <row r="4" spans="1:4" x14ac:dyDescent="0.2">
      <c r="A4" t="s">
        <v>60</v>
      </c>
      <c r="B4" t="s">
        <v>232</v>
      </c>
      <c r="C4" t="s">
        <v>233</v>
      </c>
      <c r="D4" t="s">
        <v>234</v>
      </c>
    </row>
    <row r="5" spans="1:4" x14ac:dyDescent="0.2">
      <c r="A5" t="s">
        <v>235</v>
      </c>
      <c r="B5" t="s">
        <v>236</v>
      </c>
      <c r="C5" t="s">
        <v>237</v>
      </c>
      <c r="D5" t="s">
        <v>238</v>
      </c>
    </row>
    <row r="6" spans="1:4" x14ac:dyDescent="0.2">
      <c r="A6" t="s">
        <v>235</v>
      </c>
      <c r="B6" t="s">
        <v>239</v>
      </c>
      <c r="C6" t="s">
        <v>240</v>
      </c>
      <c r="D6" t="s">
        <v>241</v>
      </c>
    </row>
    <row r="7" spans="1:4" x14ac:dyDescent="0.2">
      <c r="A7" t="s">
        <v>64</v>
      </c>
      <c r="B7" t="s">
        <v>242</v>
      </c>
      <c r="C7" t="s">
        <v>243</v>
      </c>
      <c r="D7" t="s">
        <v>244</v>
      </c>
    </row>
    <row r="8" spans="1:4" x14ac:dyDescent="0.2">
      <c r="A8" t="s">
        <v>64</v>
      </c>
      <c r="B8" t="s">
        <v>245</v>
      </c>
      <c r="C8" t="s">
        <v>246</v>
      </c>
      <c r="D8" t="s">
        <v>247</v>
      </c>
    </row>
    <row r="9" spans="1:4" x14ac:dyDescent="0.2">
      <c r="A9" t="s">
        <v>64</v>
      </c>
      <c r="B9" t="s">
        <v>248</v>
      </c>
      <c r="C9" t="s">
        <v>249</v>
      </c>
      <c r="D9" t="s">
        <v>250</v>
      </c>
    </row>
    <row r="10" spans="1:4" x14ac:dyDescent="0.2">
      <c r="A10" t="s">
        <v>64</v>
      </c>
      <c r="B10" t="s">
        <v>251</v>
      </c>
      <c r="C10" t="s">
        <v>252</v>
      </c>
      <c r="D10" t="s">
        <v>253</v>
      </c>
    </row>
    <row r="11" spans="1:4" x14ac:dyDescent="0.2">
      <c r="A11" t="s">
        <v>60</v>
      </c>
      <c r="B11" t="s">
        <v>57</v>
      </c>
      <c r="C11" t="s">
        <v>254</v>
      </c>
      <c r="D11" t="s">
        <v>255</v>
      </c>
    </row>
    <row r="12" spans="1:4" x14ac:dyDescent="0.2">
      <c r="A12" t="s">
        <v>60</v>
      </c>
      <c r="B12" t="s">
        <v>256</v>
      </c>
      <c r="C12" t="s">
        <v>257</v>
      </c>
      <c r="D12" t="s">
        <v>258</v>
      </c>
    </row>
    <row r="13" spans="1:4" x14ac:dyDescent="0.2">
      <c r="A13" t="s">
        <v>60</v>
      </c>
      <c r="B13" t="s">
        <v>259</v>
      </c>
      <c r="C13" t="s">
        <v>260</v>
      </c>
      <c r="D13" t="s">
        <v>261</v>
      </c>
    </row>
    <row r="14" spans="1:4" x14ac:dyDescent="0.2">
      <c r="A14" t="s">
        <v>68</v>
      </c>
      <c r="B14" t="s">
        <v>262</v>
      </c>
      <c r="C14" t="s">
        <v>263</v>
      </c>
      <c r="D14" t="s">
        <v>264</v>
      </c>
    </row>
    <row r="15" spans="1:4" x14ac:dyDescent="0.2">
      <c r="A15" t="s">
        <v>68</v>
      </c>
      <c r="B15" t="s">
        <v>265</v>
      </c>
      <c r="C15" t="s">
        <v>266</v>
      </c>
      <c r="D15" t="s">
        <v>267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121"/>
  <sheetViews>
    <sheetView workbookViewId="0">
      <pane ySplit="1" topLeftCell="A2" activePane="bottomLeft" state="frozen"/>
      <selection pane="bottomLeft"/>
    </sheetView>
  </sheetViews>
  <sheetFormatPr baseColWidth="10" defaultColWidth="8.83203125" defaultRowHeight="15" x14ac:dyDescent="0.2"/>
  <cols>
    <col min="1" max="1" width="12" customWidth="1"/>
    <col min="2" max="2" width="26.33203125" bestFit="1" customWidth="1"/>
    <col min="3" max="3" width="34" customWidth="1"/>
    <col min="4" max="4" width="28" customWidth="1"/>
    <col min="5" max="5" width="26" customWidth="1"/>
    <col min="6" max="6" width="26.1640625" bestFit="1" customWidth="1"/>
    <col min="7" max="7" width="24" customWidth="1"/>
    <col min="8" max="8" width="22" customWidth="1"/>
    <col min="9" max="9" width="24" customWidth="1"/>
    <col min="10" max="11" width="34" customWidth="1"/>
    <col min="12" max="12" width="36" customWidth="1"/>
    <col min="13" max="13" width="34" customWidth="1"/>
    <col min="14" max="14" width="30" customWidth="1"/>
    <col min="15" max="16" width="10" customWidth="1"/>
    <col min="17" max="17" width="12" customWidth="1"/>
    <col min="18" max="18" width="10" customWidth="1"/>
    <col min="19" max="19" width="14" customWidth="1"/>
    <col min="20" max="20" width="12" customWidth="1"/>
    <col min="21" max="22" width="10" customWidth="1"/>
    <col min="23" max="23" width="12" customWidth="1"/>
    <col min="24" max="24" width="32" customWidth="1"/>
    <col min="25" max="26" width="14" customWidth="1"/>
    <col min="27" max="27" width="16" customWidth="1"/>
    <col min="28" max="28" width="14" customWidth="1"/>
    <col min="29" max="30" width="12" customWidth="1"/>
    <col min="31" max="32" width="14" customWidth="1"/>
    <col min="33" max="33" width="16" customWidth="1"/>
    <col min="34" max="34" width="18" customWidth="1"/>
    <col min="35" max="35" width="40" customWidth="1"/>
    <col min="36" max="36" width="24" customWidth="1"/>
    <col min="37" max="39" width="14" customWidth="1"/>
    <col min="40" max="40" width="16" customWidth="1"/>
    <col min="41" max="41" width="12" customWidth="1"/>
    <col min="42" max="42" width="16" customWidth="1"/>
    <col min="43" max="43" width="20" customWidth="1"/>
    <col min="44" max="44" width="24" customWidth="1"/>
    <col min="45" max="45" width="58" customWidth="1"/>
    <col min="46" max="46" width="32" customWidth="1"/>
  </cols>
  <sheetData>
    <row r="1" spans="1:46" ht="32" x14ac:dyDescent="0.2">
      <c r="A1" s="3" t="s">
        <v>79</v>
      </c>
      <c r="B1" s="3" t="s">
        <v>83</v>
      </c>
      <c r="C1" s="3" t="s">
        <v>87</v>
      </c>
      <c r="D1" s="3" t="s">
        <v>90</v>
      </c>
      <c r="E1" s="3" t="s">
        <v>93</v>
      </c>
      <c r="F1" s="3" t="s">
        <v>96</v>
      </c>
      <c r="G1" s="3" t="s">
        <v>99</v>
      </c>
      <c r="H1" s="3" t="s">
        <v>102</v>
      </c>
      <c r="I1" s="3" t="s">
        <v>105</v>
      </c>
      <c r="J1" s="3" t="s">
        <v>108</v>
      </c>
      <c r="K1" s="3" t="s">
        <v>111</v>
      </c>
      <c r="L1" s="3" t="s">
        <v>114</v>
      </c>
      <c r="M1" s="3" t="s">
        <v>117</v>
      </c>
      <c r="N1" s="3" t="s">
        <v>120</v>
      </c>
      <c r="O1" s="3" t="s">
        <v>123</v>
      </c>
      <c r="P1" s="3" t="s">
        <v>126</v>
      </c>
      <c r="Q1" s="3" t="s">
        <v>130</v>
      </c>
      <c r="R1" s="3" t="s">
        <v>133</v>
      </c>
      <c r="S1" s="3" t="s">
        <v>136</v>
      </c>
      <c r="T1" s="3" t="s">
        <v>139</v>
      </c>
      <c r="U1" s="3" t="s">
        <v>143</v>
      </c>
      <c r="V1" s="3" t="s">
        <v>146</v>
      </c>
      <c r="W1" s="3" t="s">
        <v>149</v>
      </c>
      <c r="X1" s="3" t="s">
        <v>152</v>
      </c>
      <c r="Y1" s="3" t="s">
        <v>155</v>
      </c>
      <c r="Z1" s="3" t="s">
        <v>158</v>
      </c>
      <c r="AA1" s="3" t="s">
        <v>161</v>
      </c>
      <c r="AB1" s="3" t="s">
        <v>164</v>
      </c>
      <c r="AC1" s="3" t="s">
        <v>167</v>
      </c>
      <c r="AD1" s="3" t="s">
        <v>169</v>
      </c>
      <c r="AE1" s="3" t="s">
        <v>172</v>
      </c>
      <c r="AF1" s="3" t="s">
        <v>175</v>
      </c>
      <c r="AG1" s="3" t="s">
        <v>178</v>
      </c>
      <c r="AH1" s="3" t="s">
        <v>181</v>
      </c>
      <c r="AI1" s="3" t="s">
        <v>184</v>
      </c>
      <c r="AJ1" s="3" t="s">
        <v>187</v>
      </c>
      <c r="AK1" s="3" t="s">
        <v>190</v>
      </c>
      <c r="AL1" s="3" t="s">
        <v>194</v>
      </c>
      <c r="AM1" s="3" t="s">
        <v>197</v>
      </c>
      <c r="AN1" s="3" t="s">
        <v>200</v>
      </c>
      <c r="AO1" s="3" t="s">
        <v>203</v>
      </c>
      <c r="AP1" s="3" t="s">
        <v>206</v>
      </c>
      <c r="AQ1" s="3" t="s">
        <v>210</v>
      </c>
      <c r="AR1" s="3" t="s">
        <v>213</v>
      </c>
      <c r="AS1" s="3" t="s">
        <v>216</v>
      </c>
      <c r="AT1" s="3" t="s">
        <v>219</v>
      </c>
    </row>
    <row r="2" spans="1:46" ht="64" x14ac:dyDescent="0.2">
      <c r="A2" t="s">
        <v>82</v>
      </c>
      <c r="B2" t="s">
        <v>268</v>
      </c>
      <c r="C2" t="s">
        <v>269</v>
      </c>
      <c r="D2" t="s">
        <v>270</v>
      </c>
      <c r="E2" t="s">
        <v>271</v>
      </c>
      <c r="F2" t="s">
        <v>272</v>
      </c>
      <c r="G2" t="s">
        <v>273</v>
      </c>
      <c r="H2" t="s">
        <v>274</v>
      </c>
      <c r="I2" t="s">
        <v>275</v>
      </c>
      <c r="J2" s="2" t="s">
        <v>276</v>
      </c>
      <c r="K2" s="2" t="s">
        <v>277</v>
      </c>
      <c r="L2" s="2" t="s">
        <v>278</v>
      </c>
      <c r="M2" s="2" t="s">
        <v>279</v>
      </c>
      <c r="N2" s="4" t="s">
        <v>280</v>
      </c>
      <c r="O2" s="4" t="s">
        <v>281</v>
      </c>
      <c r="P2" s="5">
        <v>1</v>
      </c>
      <c r="Q2" s="5">
        <v>2.5</v>
      </c>
      <c r="R2" s="5">
        <v>4</v>
      </c>
      <c r="S2" s="5">
        <v>2</v>
      </c>
      <c r="T2" s="6">
        <v>3</v>
      </c>
      <c r="U2" s="6">
        <v>4</v>
      </c>
      <c r="V2">
        <f t="shared" ref="V2:V33" si="0">T2*U2</f>
        <v>12</v>
      </c>
      <c r="W2" t="str">
        <f t="shared" ref="W2:W33" si="1">IF(V2&gt;=15,"Critique",IF(V2&gt;=10,"Élevé",IF(V2&gt;=6,"Modéré","Faible")))</f>
        <v>Élevé</v>
      </c>
      <c r="X2" s="7" t="s">
        <v>282</v>
      </c>
      <c r="Y2" s="8" t="s">
        <v>157</v>
      </c>
      <c r="Z2" s="8" t="s">
        <v>160</v>
      </c>
      <c r="AA2" s="8" t="s">
        <v>163</v>
      </c>
      <c r="AB2" s="6">
        <v>2</v>
      </c>
      <c r="AC2" s="6">
        <v>4</v>
      </c>
      <c r="AD2">
        <f t="shared" ref="AD2:AD33" si="2">AB2*AC2</f>
        <v>8</v>
      </c>
      <c r="AE2" s="9" t="str">
        <f t="shared" ref="AE2:AE33" si="3">IF(AD2&gt;=15,"Critique",IF(AD2&gt;=10,"Élevé",IF(AD2&gt;=6,"Modéré","Faible")))</f>
        <v>Modéré</v>
      </c>
      <c r="AF2" t="s">
        <v>174</v>
      </c>
      <c r="AG2" s="10" t="str">
        <f t="shared" ref="AG2:AG33" si="4">IF(AD2&lt;=IF(AF2="Faible",6,IF(AF2="Modéré",9,12)),"Dans lappétit","Hors appétit")</f>
        <v>Dans lappétit</v>
      </c>
      <c r="AH2" t="s">
        <v>283</v>
      </c>
      <c r="AI2" s="2" t="s">
        <v>284</v>
      </c>
      <c r="AJ2" t="s">
        <v>273</v>
      </c>
      <c r="AK2" s="11">
        <v>46138</v>
      </c>
      <c r="AL2" t="s">
        <v>285</v>
      </c>
      <c r="AM2" s="11">
        <v>46076</v>
      </c>
      <c r="AN2" t="s">
        <v>286</v>
      </c>
      <c r="AO2" s="6">
        <v>3</v>
      </c>
      <c r="AP2" s="12">
        <v>264000</v>
      </c>
      <c r="AQ2" s="12">
        <v>2000</v>
      </c>
      <c r="AR2" s="2" t="s">
        <v>275</v>
      </c>
      <c r="AS2" s="2" t="s">
        <v>287</v>
      </c>
      <c r="AT2" s="2" t="s">
        <v>288</v>
      </c>
    </row>
    <row r="3" spans="1:46" ht="64" x14ac:dyDescent="0.2">
      <c r="A3" t="s">
        <v>289</v>
      </c>
      <c r="B3" t="s">
        <v>268</v>
      </c>
      <c r="C3" t="s">
        <v>269</v>
      </c>
      <c r="D3" t="s">
        <v>270</v>
      </c>
      <c r="E3" t="s">
        <v>271</v>
      </c>
      <c r="F3" t="s">
        <v>272</v>
      </c>
      <c r="G3" t="s">
        <v>273</v>
      </c>
      <c r="H3" t="s">
        <v>290</v>
      </c>
      <c r="I3" t="s">
        <v>291</v>
      </c>
      <c r="J3" s="2" t="s">
        <v>292</v>
      </c>
      <c r="K3" s="2" t="s">
        <v>277</v>
      </c>
      <c r="L3" s="2" t="s">
        <v>293</v>
      </c>
      <c r="M3" s="2" t="s">
        <v>294</v>
      </c>
      <c r="N3" s="4" t="s">
        <v>295</v>
      </c>
      <c r="O3" s="4" t="s">
        <v>296</v>
      </c>
      <c r="P3" s="5">
        <v>0</v>
      </c>
      <c r="Q3" s="5">
        <v>2</v>
      </c>
      <c r="R3" s="5">
        <v>4</v>
      </c>
      <c r="S3" s="5">
        <v>3</v>
      </c>
      <c r="T3" s="6">
        <v>3</v>
      </c>
      <c r="U3" s="6">
        <v>5</v>
      </c>
      <c r="V3">
        <f t="shared" si="0"/>
        <v>15</v>
      </c>
      <c r="W3" t="str">
        <f t="shared" si="1"/>
        <v>Critique</v>
      </c>
      <c r="X3" s="7" t="s">
        <v>297</v>
      </c>
      <c r="Y3" s="8" t="s">
        <v>298</v>
      </c>
      <c r="Z3" s="8" t="s">
        <v>202</v>
      </c>
      <c r="AA3" s="8" t="s">
        <v>177</v>
      </c>
      <c r="AB3" s="6">
        <v>3</v>
      </c>
      <c r="AC3" s="6">
        <v>5</v>
      </c>
      <c r="AD3">
        <f t="shared" si="2"/>
        <v>15</v>
      </c>
      <c r="AE3" s="13" t="str">
        <f t="shared" si="3"/>
        <v>Critique</v>
      </c>
      <c r="AF3" t="s">
        <v>177</v>
      </c>
      <c r="AG3" s="14" t="str">
        <f t="shared" si="4"/>
        <v>Hors appétit</v>
      </c>
      <c r="AH3" t="s">
        <v>283</v>
      </c>
      <c r="AI3" s="2" t="s">
        <v>299</v>
      </c>
      <c r="AJ3" t="s">
        <v>273</v>
      </c>
      <c r="AK3" s="11">
        <v>46149</v>
      </c>
      <c r="AL3" t="s">
        <v>300</v>
      </c>
      <c r="AM3" s="11">
        <v>46070</v>
      </c>
      <c r="AN3" t="s">
        <v>160</v>
      </c>
      <c r="AO3" s="6">
        <v>2</v>
      </c>
      <c r="AP3" s="12">
        <v>341000</v>
      </c>
      <c r="AQ3" s="12">
        <v>2250</v>
      </c>
      <c r="AR3" s="2" t="s">
        <v>291</v>
      </c>
      <c r="AS3" s="2" t="s">
        <v>301</v>
      </c>
      <c r="AT3" s="2" t="s">
        <v>288</v>
      </c>
    </row>
    <row r="4" spans="1:46" ht="64" x14ac:dyDescent="0.2">
      <c r="A4" t="s">
        <v>302</v>
      </c>
      <c r="B4" t="s">
        <v>268</v>
      </c>
      <c r="C4" t="s">
        <v>269</v>
      </c>
      <c r="D4" t="s">
        <v>270</v>
      </c>
      <c r="E4" t="s">
        <v>271</v>
      </c>
      <c r="F4" t="s">
        <v>272</v>
      </c>
      <c r="G4" t="s">
        <v>273</v>
      </c>
      <c r="H4" t="s">
        <v>104</v>
      </c>
      <c r="I4" t="s">
        <v>107</v>
      </c>
      <c r="J4" s="2" t="s">
        <v>303</v>
      </c>
      <c r="K4" s="2" t="s">
        <v>277</v>
      </c>
      <c r="L4" s="2" t="s">
        <v>304</v>
      </c>
      <c r="M4" s="2" t="s">
        <v>305</v>
      </c>
      <c r="N4" s="4" t="s">
        <v>306</v>
      </c>
      <c r="O4" s="4" t="s">
        <v>296</v>
      </c>
      <c r="P4" s="5">
        <v>0</v>
      </c>
      <c r="Q4" s="5">
        <v>1</v>
      </c>
      <c r="R4" s="5">
        <v>3</v>
      </c>
      <c r="S4" s="5">
        <v>3</v>
      </c>
      <c r="T4" s="6">
        <v>3</v>
      </c>
      <c r="U4" s="6">
        <v>5</v>
      </c>
      <c r="V4">
        <f t="shared" si="0"/>
        <v>15</v>
      </c>
      <c r="W4" t="str">
        <f t="shared" si="1"/>
        <v>Critique</v>
      </c>
      <c r="X4" s="7" t="s">
        <v>307</v>
      </c>
      <c r="Y4" s="8" t="s">
        <v>157</v>
      </c>
      <c r="Z4" s="8" t="s">
        <v>160</v>
      </c>
      <c r="AA4" s="8" t="s">
        <v>163</v>
      </c>
      <c r="AB4" s="6">
        <v>2</v>
      </c>
      <c r="AC4" s="6">
        <v>5</v>
      </c>
      <c r="AD4">
        <f t="shared" si="2"/>
        <v>10</v>
      </c>
      <c r="AE4" s="14" t="str">
        <f t="shared" si="3"/>
        <v>Élevé</v>
      </c>
      <c r="AF4" t="s">
        <v>177</v>
      </c>
      <c r="AG4" s="14" t="str">
        <f t="shared" si="4"/>
        <v>Hors appétit</v>
      </c>
      <c r="AH4" t="s">
        <v>308</v>
      </c>
      <c r="AI4" s="2" t="s">
        <v>309</v>
      </c>
      <c r="AJ4" t="s">
        <v>273</v>
      </c>
      <c r="AK4" s="11">
        <v>46160</v>
      </c>
      <c r="AL4" t="s">
        <v>310</v>
      </c>
      <c r="AM4" s="11">
        <v>46064</v>
      </c>
      <c r="AN4" t="s">
        <v>202</v>
      </c>
      <c r="AO4" s="6">
        <v>2</v>
      </c>
      <c r="AP4" s="12">
        <v>493000</v>
      </c>
      <c r="AQ4" s="12">
        <v>2500</v>
      </c>
      <c r="AR4" s="15" t="s">
        <v>107</v>
      </c>
      <c r="AS4" s="2" t="s">
        <v>311</v>
      </c>
      <c r="AT4" s="2" t="s">
        <v>288</v>
      </c>
    </row>
    <row r="5" spans="1:46" ht="64" x14ac:dyDescent="0.2">
      <c r="A5" t="s">
        <v>312</v>
      </c>
      <c r="B5" t="s">
        <v>268</v>
      </c>
      <c r="C5" t="s">
        <v>269</v>
      </c>
      <c r="D5" t="s">
        <v>270</v>
      </c>
      <c r="E5" t="s">
        <v>271</v>
      </c>
      <c r="F5" t="s">
        <v>272</v>
      </c>
      <c r="G5" t="s">
        <v>273</v>
      </c>
      <c r="H5" t="s">
        <v>313</v>
      </c>
      <c r="I5" t="s">
        <v>314</v>
      </c>
      <c r="J5" s="2" t="s">
        <v>315</v>
      </c>
      <c r="K5" s="2" t="s">
        <v>277</v>
      </c>
      <c r="L5" s="2" t="s">
        <v>316</v>
      </c>
      <c r="M5" s="2" t="s">
        <v>317</v>
      </c>
      <c r="N5" s="4" t="s">
        <v>318</v>
      </c>
      <c r="O5" s="4" t="s">
        <v>296</v>
      </c>
      <c r="P5" s="5">
        <v>0</v>
      </c>
      <c r="Q5" s="5">
        <v>3</v>
      </c>
      <c r="R5" s="5">
        <v>6</v>
      </c>
      <c r="S5" s="5">
        <v>4</v>
      </c>
      <c r="T5" s="6">
        <v>2</v>
      </c>
      <c r="U5" s="6">
        <v>5</v>
      </c>
      <c r="V5">
        <f t="shared" si="0"/>
        <v>10</v>
      </c>
      <c r="W5" t="str">
        <f t="shared" si="1"/>
        <v>Élevé</v>
      </c>
      <c r="X5" s="7" t="s">
        <v>319</v>
      </c>
      <c r="Y5" s="8" t="s">
        <v>320</v>
      </c>
      <c r="Z5" s="8" t="s">
        <v>160</v>
      </c>
      <c r="AA5" s="8" t="s">
        <v>321</v>
      </c>
      <c r="AB5" s="6">
        <v>1</v>
      </c>
      <c r="AC5" s="6">
        <v>4</v>
      </c>
      <c r="AD5">
        <f t="shared" si="2"/>
        <v>4</v>
      </c>
      <c r="AE5" s="10" t="str">
        <f t="shared" si="3"/>
        <v>Faible</v>
      </c>
      <c r="AF5" t="s">
        <v>177</v>
      </c>
      <c r="AG5" s="10" t="str">
        <f t="shared" si="4"/>
        <v>Dans lappétit</v>
      </c>
      <c r="AH5" t="s">
        <v>322</v>
      </c>
      <c r="AI5" s="2" t="s">
        <v>323</v>
      </c>
      <c r="AJ5" t="s">
        <v>273</v>
      </c>
      <c r="AK5" s="11">
        <v>46171</v>
      </c>
      <c r="AL5" t="s">
        <v>310</v>
      </c>
      <c r="AM5" s="11">
        <v>46058</v>
      </c>
      <c r="AN5" t="s">
        <v>286</v>
      </c>
      <c r="AO5" s="6">
        <v>0</v>
      </c>
      <c r="AP5" s="12">
        <v>354000</v>
      </c>
      <c r="AQ5" s="12">
        <v>2750</v>
      </c>
      <c r="AR5" s="2" t="s">
        <v>314</v>
      </c>
      <c r="AS5" s="2" t="s">
        <v>324</v>
      </c>
      <c r="AT5" s="2" t="s">
        <v>288</v>
      </c>
    </row>
    <row r="6" spans="1:46" ht="64" x14ac:dyDescent="0.2">
      <c r="A6" t="s">
        <v>325</v>
      </c>
      <c r="B6" t="s">
        <v>268</v>
      </c>
      <c r="C6" t="s">
        <v>269</v>
      </c>
      <c r="D6" t="s">
        <v>326</v>
      </c>
      <c r="E6" t="s">
        <v>271</v>
      </c>
      <c r="F6" t="s">
        <v>272</v>
      </c>
      <c r="G6" t="s">
        <v>327</v>
      </c>
      <c r="H6" t="s">
        <v>274</v>
      </c>
      <c r="I6" t="s">
        <v>275</v>
      </c>
      <c r="J6" s="2" t="s">
        <v>328</v>
      </c>
      <c r="K6" s="2" t="s">
        <v>277</v>
      </c>
      <c r="L6" s="2" t="s">
        <v>278</v>
      </c>
      <c r="M6" s="2" t="s">
        <v>279</v>
      </c>
      <c r="N6" s="4" t="s">
        <v>329</v>
      </c>
      <c r="O6" s="4" t="s">
        <v>281</v>
      </c>
      <c r="P6" s="5">
        <v>1</v>
      </c>
      <c r="Q6" s="5">
        <v>2.5</v>
      </c>
      <c r="R6" s="5">
        <v>4</v>
      </c>
      <c r="S6" s="5">
        <v>2.2000000000000002</v>
      </c>
      <c r="T6" s="6">
        <v>3</v>
      </c>
      <c r="U6" s="6">
        <v>4</v>
      </c>
      <c r="V6">
        <f t="shared" si="0"/>
        <v>12</v>
      </c>
      <c r="W6" t="str">
        <f t="shared" si="1"/>
        <v>Élevé</v>
      </c>
      <c r="X6" s="7" t="s">
        <v>282</v>
      </c>
      <c r="Y6" s="8" t="s">
        <v>157</v>
      </c>
      <c r="Z6" s="8" t="s">
        <v>160</v>
      </c>
      <c r="AA6" s="8" t="s">
        <v>177</v>
      </c>
      <c r="AB6" s="6">
        <v>3</v>
      </c>
      <c r="AC6" s="6">
        <v>4</v>
      </c>
      <c r="AD6">
        <f t="shared" si="2"/>
        <v>12</v>
      </c>
      <c r="AE6" s="14" t="str">
        <f t="shared" si="3"/>
        <v>Élevé</v>
      </c>
      <c r="AF6" t="s">
        <v>174</v>
      </c>
      <c r="AG6" s="14" t="str">
        <f t="shared" si="4"/>
        <v>Hors appétit</v>
      </c>
      <c r="AH6" t="s">
        <v>283</v>
      </c>
      <c r="AI6" s="2" t="s">
        <v>330</v>
      </c>
      <c r="AJ6" t="s">
        <v>327</v>
      </c>
      <c r="AK6" s="11">
        <v>46182</v>
      </c>
      <c r="AL6" t="s">
        <v>285</v>
      </c>
      <c r="AM6" s="11">
        <v>46052</v>
      </c>
      <c r="AN6" t="s">
        <v>202</v>
      </c>
      <c r="AO6" s="6">
        <v>3</v>
      </c>
      <c r="AP6" s="12">
        <v>273000</v>
      </c>
      <c r="AQ6" s="12">
        <v>2350</v>
      </c>
      <c r="AR6" s="2" t="s">
        <v>275</v>
      </c>
      <c r="AS6" s="2" t="s">
        <v>287</v>
      </c>
      <c r="AT6" s="2" t="s">
        <v>288</v>
      </c>
    </row>
    <row r="7" spans="1:46" ht="64" x14ac:dyDescent="0.2">
      <c r="A7" t="s">
        <v>331</v>
      </c>
      <c r="B7" t="s">
        <v>268</v>
      </c>
      <c r="C7" t="s">
        <v>269</v>
      </c>
      <c r="D7" t="s">
        <v>326</v>
      </c>
      <c r="E7" t="s">
        <v>271</v>
      </c>
      <c r="F7" t="s">
        <v>272</v>
      </c>
      <c r="G7" t="s">
        <v>327</v>
      </c>
      <c r="H7" t="s">
        <v>290</v>
      </c>
      <c r="I7" t="s">
        <v>291</v>
      </c>
      <c r="J7" s="2" t="s">
        <v>332</v>
      </c>
      <c r="K7" s="2" t="s">
        <v>277</v>
      </c>
      <c r="L7" s="2" t="s">
        <v>293</v>
      </c>
      <c r="M7" s="2" t="s">
        <v>294</v>
      </c>
      <c r="N7" s="4" t="s">
        <v>333</v>
      </c>
      <c r="O7" s="4" t="s">
        <v>296</v>
      </c>
      <c r="P7" s="5">
        <v>0</v>
      </c>
      <c r="Q7" s="5">
        <v>2</v>
      </c>
      <c r="R7" s="5">
        <v>4</v>
      </c>
      <c r="S7" s="5">
        <v>2</v>
      </c>
      <c r="T7" s="6">
        <v>3</v>
      </c>
      <c r="U7" s="6">
        <v>5</v>
      </c>
      <c r="V7">
        <f t="shared" si="0"/>
        <v>15</v>
      </c>
      <c r="W7" t="str">
        <f t="shared" si="1"/>
        <v>Critique</v>
      </c>
      <c r="X7" s="7" t="s">
        <v>297</v>
      </c>
      <c r="Y7" s="8" t="s">
        <v>298</v>
      </c>
      <c r="Z7" s="8" t="s">
        <v>202</v>
      </c>
      <c r="AA7" s="8" t="s">
        <v>163</v>
      </c>
      <c r="AB7" s="6">
        <v>2</v>
      </c>
      <c r="AC7" s="6">
        <v>5</v>
      </c>
      <c r="AD7">
        <f t="shared" si="2"/>
        <v>10</v>
      </c>
      <c r="AE7" s="14" t="str">
        <f t="shared" si="3"/>
        <v>Élevé</v>
      </c>
      <c r="AF7" t="s">
        <v>177</v>
      </c>
      <c r="AG7" s="14" t="str">
        <f t="shared" si="4"/>
        <v>Hors appétit</v>
      </c>
      <c r="AH7" t="s">
        <v>283</v>
      </c>
      <c r="AI7" s="2" t="s">
        <v>334</v>
      </c>
      <c r="AJ7" t="s">
        <v>327</v>
      </c>
      <c r="AK7" s="11">
        <v>46193</v>
      </c>
      <c r="AL7" t="s">
        <v>300</v>
      </c>
      <c r="AM7" s="11">
        <v>46046</v>
      </c>
      <c r="AN7" t="s">
        <v>202</v>
      </c>
      <c r="AO7" s="6">
        <v>2</v>
      </c>
      <c r="AP7" s="12">
        <v>350000</v>
      </c>
      <c r="AQ7" s="12">
        <v>2600</v>
      </c>
      <c r="AR7" s="2" t="s">
        <v>291</v>
      </c>
      <c r="AS7" s="2" t="s">
        <v>301</v>
      </c>
      <c r="AT7" s="2" t="s">
        <v>288</v>
      </c>
    </row>
    <row r="8" spans="1:46" ht="64" x14ac:dyDescent="0.2">
      <c r="A8" t="s">
        <v>335</v>
      </c>
      <c r="B8" t="s">
        <v>268</v>
      </c>
      <c r="C8" t="s">
        <v>269</v>
      </c>
      <c r="D8" t="s">
        <v>326</v>
      </c>
      <c r="E8" t="s">
        <v>271</v>
      </c>
      <c r="F8" t="s">
        <v>272</v>
      </c>
      <c r="G8" t="s">
        <v>327</v>
      </c>
      <c r="H8" t="s">
        <v>104</v>
      </c>
      <c r="I8" t="s">
        <v>107</v>
      </c>
      <c r="J8" s="2" t="s">
        <v>336</v>
      </c>
      <c r="K8" s="2" t="s">
        <v>277</v>
      </c>
      <c r="L8" s="2" t="s">
        <v>304</v>
      </c>
      <c r="M8" s="2" t="s">
        <v>305</v>
      </c>
      <c r="N8" s="4" t="s">
        <v>337</v>
      </c>
      <c r="O8" s="4" t="s">
        <v>296</v>
      </c>
      <c r="P8" s="5">
        <v>0</v>
      </c>
      <c r="Q8" s="5">
        <v>1</v>
      </c>
      <c r="R8" s="5">
        <v>3</v>
      </c>
      <c r="S8" s="5">
        <v>2</v>
      </c>
      <c r="T8" s="6">
        <v>3</v>
      </c>
      <c r="U8" s="6">
        <v>5</v>
      </c>
      <c r="V8">
        <f t="shared" si="0"/>
        <v>15</v>
      </c>
      <c r="W8" t="str">
        <f t="shared" si="1"/>
        <v>Critique</v>
      </c>
      <c r="X8" s="7" t="s">
        <v>307</v>
      </c>
      <c r="Y8" s="8" t="s">
        <v>157</v>
      </c>
      <c r="Z8" s="8" t="s">
        <v>160</v>
      </c>
      <c r="AA8" s="8" t="s">
        <v>163</v>
      </c>
      <c r="AB8" s="6">
        <v>2</v>
      </c>
      <c r="AC8" s="6">
        <v>5</v>
      </c>
      <c r="AD8">
        <f t="shared" si="2"/>
        <v>10</v>
      </c>
      <c r="AE8" s="14" t="str">
        <f t="shared" si="3"/>
        <v>Élevé</v>
      </c>
      <c r="AF8" t="s">
        <v>177</v>
      </c>
      <c r="AG8" s="14" t="str">
        <f t="shared" si="4"/>
        <v>Hors appétit</v>
      </c>
      <c r="AH8" t="s">
        <v>308</v>
      </c>
      <c r="AI8" s="2" t="s">
        <v>338</v>
      </c>
      <c r="AJ8" t="s">
        <v>327</v>
      </c>
      <c r="AK8" s="11">
        <v>46204</v>
      </c>
      <c r="AL8" t="s">
        <v>310</v>
      </c>
      <c r="AM8" s="11">
        <v>46040</v>
      </c>
      <c r="AN8" t="s">
        <v>202</v>
      </c>
      <c r="AO8" s="6">
        <v>2</v>
      </c>
      <c r="AP8" s="12">
        <v>505000</v>
      </c>
      <c r="AQ8" s="12">
        <v>2850</v>
      </c>
      <c r="AR8" s="15" t="s">
        <v>107</v>
      </c>
      <c r="AS8" s="2" t="s">
        <v>311</v>
      </c>
      <c r="AT8" s="2" t="s">
        <v>288</v>
      </c>
    </row>
    <row r="9" spans="1:46" ht="64" x14ac:dyDescent="0.2">
      <c r="A9" t="s">
        <v>339</v>
      </c>
      <c r="B9" t="s">
        <v>268</v>
      </c>
      <c r="C9" t="s">
        <v>269</v>
      </c>
      <c r="D9" t="s">
        <v>326</v>
      </c>
      <c r="E9" t="s">
        <v>271</v>
      </c>
      <c r="F9" t="s">
        <v>272</v>
      </c>
      <c r="G9" t="s">
        <v>327</v>
      </c>
      <c r="H9" t="s">
        <v>313</v>
      </c>
      <c r="I9" t="s">
        <v>314</v>
      </c>
      <c r="J9" s="2" t="s">
        <v>340</v>
      </c>
      <c r="K9" s="2" t="s">
        <v>277</v>
      </c>
      <c r="L9" s="2" t="s">
        <v>316</v>
      </c>
      <c r="M9" s="2" t="s">
        <v>317</v>
      </c>
      <c r="N9" s="4" t="s">
        <v>341</v>
      </c>
      <c r="O9" s="4" t="s">
        <v>296</v>
      </c>
      <c r="P9" s="5">
        <v>0</v>
      </c>
      <c r="Q9" s="5">
        <v>3</v>
      </c>
      <c r="R9" s="5">
        <v>6</v>
      </c>
      <c r="S9" s="5">
        <v>5</v>
      </c>
      <c r="T9" s="6">
        <v>3</v>
      </c>
      <c r="U9" s="6">
        <v>5</v>
      </c>
      <c r="V9">
        <f t="shared" si="0"/>
        <v>15</v>
      </c>
      <c r="W9" t="str">
        <f t="shared" si="1"/>
        <v>Critique</v>
      </c>
      <c r="X9" s="7" t="s">
        <v>319</v>
      </c>
      <c r="Y9" s="8" t="s">
        <v>320</v>
      </c>
      <c r="Z9" s="8" t="s">
        <v>160</v>
      </c>
      <c r="AA9" s="8" t="s">
        <v>163</v>
      </c>
      <c r="AB9" s="6">
        <v>2</v>
      </c>
      <c r="AC9" s="6">
        <v>5</v>
      </c>
      <c r="AD9">
        <f t="shared" si="2"/>
        <v>10</v>
      </c>
      <c r="AE9" s="14" t="str">
        <f t="shared" si="3"/>
        <v>Élevé</v>
      </c>
      <c r="AF9" t="s">
        <v>177</v>
      </c>
      <c r="AG9" s="14" t="str">
        <f t="shared" si="4"/>
        <v>Hors appétit</v>
      </c>
      <c r="AH9" t="s">
        <v>283</v>
      </c>
      <c r="AI9" s="2" t="s">
        <v>342</v>
      </c>
      <c r="AJ9" t="s">
        <v>327</v>
      </c>
      <c r="AK9" s="11">
        <v>46215</v>
      </c>
      <c r="AL9" t="s">
        <v>285</v>
      </c>
      <c r="AM9" s="11">
        <v>46034</v>
      </c>
      <c r="AN9" t="s">
        <v>202</v>
      </c>
      <c r="AO9" s="6">
        <v>2</v>
      </c>
      <c r="AP9" s="12">
        <v>521000</v>
      </c>
      <c r="AQ9" s="12">
        <v>3100</v>
      </c>
      <c r="AR9" s="2" t="s">
        <v>314</v>
      </c>
      <c r="AS9" s="2" t="s">
        <v>324</v>
      </c>
      <c r="AT9" s="2" t="s">
        <v>288</v>
      </c>
    </row>
    <row r="10" spans="1:46" ht="64" x14ac:dyDescent="0.2">
      <c r="A10" t="s">
        <v>343</v>
      </c>
      <c r="B10" t="s">
        <v>268</v>
      </c>
      <c r="C10" t="s">
        <v>269</v>
      </c>
      <c r="D10" t="s">
        <v>344</v>
      </c>
      <c r="E10" t="s">
        <v>271</v>
      </c>
      <c r="F10" t="s">
        <v>272</v>
      </c>
      <c r="G10" t="s">
        <v>345</v>
      </c>
      <c r="H10" t="s">
        <v>274</v>
      </c>
      <c r="I10" t="s">
        <v>275</v>
      </c>
      <c r="J10" s="2" t="s">
        <v>346</v>
      </c>
      <c r="K10" s="2" t="s">
        <v>277</v>
      </c>
      <c r="L10" s="2" t="s">
        <v>278</v>
      </c>
      <c r="M10" s="2" t="s">
        <v>279</v>
      </c>
      <c r="N10" s="4" t="s">
        <v>347</v>
      </c>
      <c r="O10" s="4" t="s">
        <v>281</v>
      </c>
      <c r="P10" s="5">
        <v>1</v>
      </c>
      <c r="Q10" s="5">
        <v>2.5</v>
      </c>
      <c r="R10" s="5">
        <v>4</v>
      </c>
      <c r="S10" s="5">
        <v>2.7</v>
      </c>
      <c r="T10" s="6">
        <v>4</v>
      </c>
      <c r="U10" s="6">
        <v>4</v>
      </c>
      <c r="V10">
        <f t="shared" si="0"/>
        <v>16</v>
      </c>
      <c r="W10" t="str">
        <f t="shared" si="1"/>
        <v>Critique</v>
      </c>
      <c r="X10" s="7" t="s">
        <v>282</v>
      </c>
      <c r="Y10" s="8" t="s">
        <v>157</v>
      </c>
      <c r="Z10" s="8" t="s">
        <v>160</v>
      </c>
      <c r="AA10" s="8" t="s">
        <v>321</v>
      </c>
      <c r="AB10" s="6">
        <v>2</v>
      </c>
      <c r="AC10" s="6">
        <v>3</v>
      </c>
      <c r="AD10">
        <f t="shared" si="2"/>
        <v>6</v>
      </c>
      <c r="AE10" s="9" t="str">
        <f t="shared" si="3"/>
        <v>Modéré</v>
      </c>
      <c r="AF10" t="s">
        <v>174</v>
      </c>
      <c r="AG10" s="10" t="str">
        <f t="shared" si="4"/>
        <v>Dans lappétit</v>
      </c>
      <c r="AH10" t="s">
        <v>322</v>
      </c>
      <c r="AI10" s="2" t="s">
        <v>348</v>
      </c>
      <c r="AJ10" t="s">
        <v>345</v>
      </c>
      <c r="AK10" s="11">
        <v>46226</v>
      </c>
      <c r="AL10" t="s">
        <v>196</v>
      </c>
      <c r="AM10" s="11">
        <v>46028</v>
      </c>
      <c r="AN10" t="s">
        <v>286</v>
      </c>
      <c r="AO10" s="6">
        <v>3</v>
      </c>
      <c r="AP10" s="12">
        <v>370000</v>
      </c>
      <c r="AQ10" s="12">
        <v>2700</v>
      </c>
      <c r="AR10" s="2" t="s">
        <v>275</v>
      </c>
      <c r="AS10" s="2" t="s">
        <v>287</v>
      </c>
      <c r="AT10" s="2" t="s">
        <v>288</v>
      </c>
    </row>
    <row r="11" spans="1:46" ht="64" x14ac:dyDescent="0.2">
      <c r="A11" t="s">
        <v>349</v>
      </c>
      <c r="B11" t="s">
        <v>268</v>
      </c>
      <c r="C11" t="s">
        <v>269</v>
      </c>
      <c r="D11" t="s">
        <v>344</v>
      </c>
      <c r="E11" t="s">
        <v>271</v>
      </c>
      <c r="F11" t="s">
        <v>272</v>
      </c>
      <c r="G11" t="s">
        <v>345</v>
      </c>
      <c r="H11" t="s">
        <v>290</v>
      </c>
      <c r="I11" t="s">
        <v>291</v>
      </c>
      <c r="J11" s="2" t="s">
        <v>350</v>
      </c>
      <c r="K11" s="2" t="s">
        <v>277</v>
      </c>
      <c r="L11" s="2" t="s">
        <v>293</v>
      </c>
      <c r="M11" s="2" t="s">
        <v>294</v>
      </c>
      <c r="N11" s="4" t="s">
        <v>351</v>
      </c>
      <c r="O11" s="4" t="s">
        <v>296</v>
      </c>
      <c r="P11" s="5">
        <v>0</v>
      </c>
      <c r="Q11" s="5">
        <v>2</v>
      </c>
      <c r="R11" s="5">
        <v>4</v>
      </c>
      <c r="S11" s="5">
        <v>2</v>
      </c>
      <c r="T11" s="6">
        <v>3</v>
      </c>
      <c r="U11" s="6">
        <v>5</v>
      </c>
      <c r="V11">
        <f t="shared" si="0"/>
        <v>15</v>
      </c>
      <c r="W11" t="str">
        <f t="shared" si="1"/>
        <v>Critique</v>
      </c>
      <c r="X11" s="7" t="s">
        <v>297</v>
      </c>
      <c r="Y11" s="8" t="s">
        <v>298</v>
      </c>
      <c r="Z11" s="8" t="s">
        <v>202</v>
      </c>
      <c r="AA11" s="8" t="s">
        <v>321</v>
      </c>
      <c r="AB11" s="6">
        <v>2</v>
      </c>
      <c r="AC11" s="6">
        <v>4</v>
      </c>
      <c r="AD11">
        <f t="shared" si="2"/>
        <v>8</v>
      </c>
      <c r="AE11" s="9" t="str">
        <f t="shared" si="3"/>
        <v>Modéré</v>
      </c>
      <c r="AF11" t="s">
        <v>177</v>
      </c>
      <c r="AG11" s="14" t="str">
        <f t="shared" si="4"/>
        <v>Hors appétit</v>
      </c>
      <c r="AH11" t="s">
        <v>283</v>
      </c>
      <c r="AI11" s="2" t="s">
        <v>352</v>
      </c>
      <c r="AJ11" t="s">
        <v>345</v>
      </c>
      <c r="AK11" s="11">
        <v>46237</v>
      </c>
      <c r="AL11" t="s">
        <v>300</v>
      </c>
      <c r="AM11" s="11">
        <v>46022</v>
      </c>
      <c r="AN11" t="s">
        <v>286</v>
      </c>
      <c r="AO11" s="6">
        <v>1</v>
      </c>
      <c r="AP11" s="12">
        <v>359000</v>
      </c>
      <c r="AQ11" s="12">
        <v>2950</v>
      </c>
      <c r="AR11" s="2" t="s">
        <v>291</v>
      </c>
      <c r="AS11" s="2" t="s">
        <v>301</v>
      </c>
      <c r="AT11" s="2" t="s">
        <v>288</v>
      </c>
    </row>
    <row r="12" spans="1:46" ht="64" x14ac:dyDescent="0.2">
      <c r="A12" t="s">
        <v>353</v>
      </c>
      <c r="B12" t="s">
        <v>268</v>
      </c>
      <c r="C12" t="s">
        <v>269</v>
      </c>
      <c r="D12" t="s">
        <v>344</v>
      </c>
      <c r="E12" t="s">
        <v>271</v>
      </c>
      <c r="F12" t="s">
        <v>272</v>
      </c>
      <c r="G12" t="s">
        <v>345</v>
      </c>
      <c r="H12" t="s">
        <v>104</v>
      </c>
      <c r="I12" t="s">
        <v>107</v>
      </c>
      <c r="J12" s="2" t="s">
        <v>354</v>
      </c>
      <c r="K12" s="2" t="s">
        <v>277</v>
      </c>
      <c r="L12" s="2" t="s">
        <v>304</v>
      </c>
      <c r="M12" s="2" t="s">
        <v>305</v>
      </c>
      <c r="N12" s="4" t="s">
        <v>355</v>
      </c>
      <c r="O12" s="4" t="s">
        <v>296</v>
      </c>
      <c r="P12" s="5">
        <v>0</v>
      </c>
      <c r="Q12" s="5">
        <v>1</v>
      </c>
      <c r="R12" s="5">
        <v>3</v>
      </c>
      <c r="S12" s="5">
        <v>1</v>
      </c>
      <c r="T12" s="6">
        <v>3</v>
      </c>
      <c r="U12" s="6">
        <v>5</v>
      </c>
      <c r="V12">
        <f t="shared" si="0"/>
        <v>15</v>
      </c>
      <c r="W12" t="str">
        <f t="shared" si="1"/>
        <v>Critique</v>
      </c>
      <c r="X12" s="7" t="s">
        <v>307</v>
      </c>
      <c r="Y12" s="8" t="s">
        <v>157</v>
      </c>
      <c r="Z12" s="8" t="s">
        <v>160</v>
      </c>
      <c r="AA12" s="8" t="s">
        <v>177</v>
      </c>
      <c r="AB12" s="6">
        <v>3</v>
      </c>
      <c r="AC12" s="6">
        <v>5</v>
      </c>
      <c r="AD12">
        <f t="shared" si="2"/>
        <v>15</v>
      </c>
      <c r="AE12" s="13" t="str">
        <f t="shared" si="3"/>
        <v>Critique</v>
      </c>
      <c r="AF12" t="s">
        <v>177</v>
      </c>
      <c r="AG12" s="14" t="str">
        <f t="shared" si="4"/>
        <v>Hors appétit</v>
      </c>
      <c r="AH12" t="s">
        <v>308</v>
      </c>
      <c r="AI12" s="2" t="s">
        <v>356</v>
      </c>
      <c r="AJ12" t="s">
        <v>345</v>
      </c>
      <c r="AK12" s="11">
        <v>46248</v>
      </c>
      <c r="AL12" t="s">
        <v>310</v>
      </c>
      <c r="AM12" s="11">
        <v>46016</v>
      </c>
      <c r="AN12" t="s">
        <v>160</v>
      </c>
      <c r="AO12" s="6">
        <v>2</v>
      </c>
      <c r="AP12" s="12">
        <v>518000</v>
      </c>
      <c r="AQ12" s="12">
        <v>3200</v>
      </c>
      <c r="AR12" s="15" t="s">
        <v>107</v>
      </c>
      <c r="AS12" s="2" t="s">
        <v>311</v>
      </c>
      <c r="AT12" s="2" t="s">
        <v>288</v>
      </c>
    </row>
    <row r="13" spans="1:46" ht="64" x14ac:dyDescent="0.2">
      <c r="A13" t="s">
        <v>357</v>
      </c>
      <c r="B13" t="s">
        <v>268</v>
      </c>
      <c r="C13" t="s">
        <v>269</v>
      </c>
      <c r="D13" t="s">
        <v>344</v>
      </c>
      <c r="E13" t="s">
        <v>271</v>
      </c>
      <c r="F13" t="s">
        <v>272</v>
      </c>
      <c r="G13" t="s">
        <v>345</v>
      </c>
      <c r="H13" t="s">
        <v>313</v>
      </c>
      <c r="I13" t="s">
        <v>314</v>
      </c>
      <c r="J13" s="2" t="s">
        <v>358</v>
      </c>
      <c r="K13" s="2" t="s">
        <v>277</v>
      </c>
      <c r="L13" s="2" t="s">
        <v>316</v>
      </c>
      <c r="M13" s="2" t="s">
        <v>317</v>
      </c>
      <c r="N13" s="4" t="s">
        <v>359</v>
      </c>
      <c r="O13" s="4" t="s">
        <v>296</v>
      </c>
      <c r="P13" s="5">
        <v>0</v>
      </c>
      <c r="Q13" s="5">
        <v>3</v>
      </c>
      <c r="R13" s="5">
        <v>6</v>
      </c>
      <c r="S13" s="5">
        <v>4</v>
      </c>
      <c r="T13" s="6">
        <v>3</v>
      </c>
      <c r="U13" s="6">
        <v>5</v>
      </c>
      <c r="V13">
        <f t="shared" si="0"/>
        <v>15</v>
      </c>
      <c r="W13" t="str">
        <f t="shared" si="1"/>
        <v>Critique</v>
      </c>
      <c r="X13" s="7" t="s">
        <v>319</v>
      </c>
      <c r="Y13" s="8" t="s">
        <v>320</v>
      </c>
      <c r="Z13" s="8" t="s">
        <v>160</v>
      </c>
      <c r="AA13" s="8" t="s">
        <v>177</v>
      </c>
      <c r="AB13" s="6">
        <v>3</v>
      </c>
      <c r="AC13" s="6">
        <v>5</v>
      </c>
      <c r="AD13">
        <f t="shared" si="2"/>
        <v>15</v>
      </c>
      <c r="AE13" s="13" t="str">
        <f t="shared" si="3"/>
        <v>Critique</v>
      </c>
      <c r="AF13" t="s">
        <v>177</v>
      </c>
      <c r="AG13" s="14" t="str">
        <f t="shared" si="4"/>
        <v>Hors appétit</v>
      </c>
      <c r="AH13" t="s">
        <v>283</v>
      </c>
      <c r="AI13" s="2" t="s">
        <v>360</v>
      </c>
      <c r="AJ13" t="s">
        <v>345</v>
      </c>
      <c r="AK13" s="11">
        <v>46259</v>
      </c>
      <c r="AL13" t="s">
        <v>285</v>
      </c>
      <c r="AM13" s="11">
        <v>46010</v>
      </c>
      <c r="AN13" t="s">
        <v>160</v>
      </c>
      <c r="AO13" s="6">
        <v>2</v>
      </c>
      <c r="AP13" s="12">
        <v>533000</v>
      </c>
      <c r="AQ13" s="12">
        <v>3450</v>
      </c>
      <c r="AR13" s="2" t="s">
        <v>314</v>
      </c>
      <c r="AS13" s="2" t="s">
        <v>324</v>
      </c>
      <c r="AT13" s="2" t="s">
        <v>288</v>
      </c>
    </row>
    <row r="14" spans="1:46" ht="48" x14ac:dyDescent="0.2">
      <c r="A14" t="s">
        <v>361</v>
      </c>
      <c r="B14" t="s">
        <v>268</v>
      </c>
      <c r="C14" t="s">
        <v>362</v>
      </c>
      <c r="D14" t="s">
        <v>363</v>
      </c>
      <c r="E14" t="s">
        <v>364</v>
      </c>
      <c r="F14" t="s">
        <v>365</v>
      </c>
      <c r="G14" t="s">
        <v>366</v>
      </c>
      <c r="H14" t="s">
        <v>274</v>
      </c>
      <c r="I14" t="s">
        <v>275</v>
      </c>
      <c r="J14" s="2" t="s">
        <v>367</v>
      </c>
      <c r="K14" s="2" t="s">
        <v>368</v>
      </c>
      <c r="L14" s="2" t="s">
        <v>278</v>
      </c>
      <c r="M14" s="2" t="s">
        <v>279</v>
      </c>
      <c r="N14" s="4" t="s">
        <v>369</v>
      </c>
      <c r="O14" s="4" t="s">
        <v>281</v>
      </c>
      <c r="P14" s="5">
        <v>1</v>
      </c>
      <c r="Q14" s="5">
        <v>2.5</v>
      </c>
      <c r="R14" s="5">
        <v>4</v>
      </c>
      <c r="S14" s="5">
        <v>2.5</v>
      </c>
      <c r="T14" s="6">
        <v>3</v>
      </c>
      <c r="U14" s="6">
        <v>4</v>
      </c>
      <c r="V14">
        <f t="shared" si="0"/>
        <v>12</v>
      </c>
      <c r="W14" t="str">
        <f t="shared" si="1"/>
        <v>Élevé</v>
      </c>
      <c r="X14" s="7" t="s">
        <v>282</v>
      </c>
      <c r="Y14" s="8" t="s">
        <v>157</v>
      </c>
      <c r="Z14" s="8" t="s">
        <v>160</v>
      </c>
      <c r="AA14" s="8" t="s">
        <v>163</v>
      </c>
      <c r="AB14" s="6">
        <v>2</v>
      </c>
      <c r="AC14" s="6">
        <v>4</v>
      </c>
      <c r="AD14">
        <f t="shared" si="2"/>
        <v>8</v>
      </c>
      <c r="AE14" s="9" t="str">
        <f t="shared" si="3"/>
        <v>Modéré</v>
      </c>
      <c r="AF14" t="s">
        <v>174</v>
      </c>
      <c r="AG14" s="10" t="str">
        <f t="shared" si="4"/>
        <v>Dans lappétit</v>
      </c>
      <c r="AH14" t="s">
        <v>283</v>
      </c>
      <c r="AI14" s="2" t="s">
        <v>370</v>
      </c>
      <c r="AJ14" t="s">
        <v>366</v>
      </c>
      <c r="AK14" s="11">
        <v>46270</v>
      </c>
      <c r="AL14" t="s">
        <v>285</v>
      </c>
      <c r="AM14" s="11">
        <v>46004</v>
      </c>
      <c r="AN14" t="s">
        <v>286</v>
      </c>
      <c r="AO14" s="6">
        <v>3</v>
      </c>
      <c r="AP14" s="12">
        <v>279000</v>
      </c>
      <c r="AQ14" s="12">
        <v>2700</v>
      </c>
      <c r="AR14" s="2" t="s">
        <v>275</v>
      </c>
      <c r="AS14" s="2" t="s">
        <v>371</v>
      </c>
      <c r="AT14" s="2" t="s">
        <v>288</v>
      </c>
    </row>
    <row r="15" spans="1:46" ht="64" x14ac:dyDescent="0.2">
      <c r="A15" t="s">
        <v>372</v>
      </c>
      <c r="B15" t="s">
        <v>268</v>
      </c>
      <c r="C15" t="s">
        <v>362</v>
      </c>
      <c r="D15" t="s">
        <v>363</v>
      </c>
      <c r="E15" t="s">
        <v>364</v>
      </c>
      <c r="F15" t="s">
        <v>365</v>
      </c>
      <c r="G15" t="s">
        <v>366</v>
      </c>
      <c r="H15" t="s">
        <v>290</v>
      </c>
      <c r="I15" t="s">
        <v>373</v>
      </c>
      <c r="J15" s="2" t="s">
        <v>374</v>
      </c>
      <c r="K15" s="2" t="s">
        <v>368</v>
      </c>
      <c r="L15" s="2" t="s">
        <v>293</v>
      </c>
      <c r="M15" s="2" t="s">
        <v>294</v>
      </c>
      <c r="N15" s="4" t="s">
        <v>375</v>
      </c>
      <c r="O15" s="4" t="s">
        <v>296</v>
      </c>
      <c r="P15" s="5">
        <v>0</v>
      </c>
      <c r="Q15" s="5">
        <v>2</v>
      </c>
      <c r="R15" s="5">
        <v>4</v>
      </c>
      <c r="S15" s="5">
        <v>4</v>
      </c>
      <c r="T15" s="6">
        <v>3</v>
      </c>
      <c r="U15" s="6">
        <v>4</v>
      </c>
      <c r="V15">
        <f t="shared" si="0"/>
        <v>12</v>
      </c>
      <c r="W15" t="str">
        <f t="shared" si="1"/>
        <v>Élevé</v>
      </c>
      <c r="X15" s="7" t="s">
        <v>297</v>
      </c>
      <c r="Y15" s="8" t="s">
        <v>298</v>
      </c>
      <c r="Z15" s="8" t="s">
        <v>202</v>
      </c>
      <c r="AA15" s="8" t="s">
        <v>177</v>
      </c>
      <c r="AB15" s="6">
        <v>3</v>
      </c>
      <c r="AC15" s="6">
        <v>4</v>
      </c>
      <c r="AD15">
        <f t="shared" si="2"/>
        <v>12</v>
      </c>
      <c r="AE15" s="14" t="str">
        <f t="shared" si="3"/>
        <v>Élevé</v>
      </c>
      <c r="AF15" t="s">
        <v>177</v>
      </c>
      <c r="AG15" s="14" t="str">
        <f t="shared" si="4"/>
        <v>Hors appétit</v>
      </c>
      <c r="AH15" t="s">
        <v>283</v>
      </c>
      <c r="AI15" s="2" t="s">
        <v>376</v>
      </c>
      <c r="AJ15" t="s">
        <v>366</v>
      </c>
      <c r="AK15" s="11">
        <v>46281</v>
      </c>
      <c r="AL15" t="s">
        <v>196</v>
      </c>
      <c r="AM15" s="11">
        <v>45998</v>
      </c>
      <c r="AN15" t="s">
        <v>202</v>
      </c>
      <c r="AO15" s="6">
        <v>2</v>
      </c>
      <c r="AP15" s="12">
        <v>290000</v>
      </c>
      <c r="AQ15" s="12">
        <v>2950</v>
      </c>
      <c r="AR15" s="2" t="s">
        <v>373</v>
      </c>
      <c r="AS15" s="2" t="s">
        <v>377</v>
      </c>
      <c r="AT15" s="2" t="s">
        <v>288</v>
      </c>
    </row>
    <row r="16" spans="1:46" ht="64" x14ac:dyDescent="0.2">
      <c r="A16" t="s">
        <v>378</v>
      </c>
      <c r="B16" t="s">
        <v>268</v>
      </c>
      <c r="C16" t="s">
        <v>362</v>
      </c>
      <c r="D16" t="s">
        <v>363</v>
      </c>
      <c r="E16" t="s">
        <v>364</v>
      </c>
      <c r="F16" t="s">
        <v>365</v>
      </c>
      <c r="G16" t="s">
        <v>366</v>
      </c>
      <c r="H16" t="s">
        <v>104</v>
      </c>
      <c r="I16" t="s">
        <v>107</v>
      </c>
      <c r="J16" s="2" t="s">
        <v>379</v>
      </c>
      <c r="K16" s="2" t="s">
        <v>368</v>
      </c>
      <c r="L16" s="2" t="s">
        <v>304</v>
      </c>
      <c r="M16" s="2" t="s">
        <v>305</v>
      </c>
      <c r="N16" s="4" t="s">
        <v>380</v>
      </c>
      <c r="O16" s="4" t="s">
        <v>296</v>
      </c>
      <c r="P16" s="5">
        <v>0</v>
      </c>
      <c r="Q16" s="5">
        <v>1</v>
      </c>
      <c r="R16" s="5">
        <v>3</v>
      </c>
      <c r="S16" s="5">
        <v>1</v>
      </c>
      <c r="T16" s="6">
        <v>3</v>
      </c>
      <c r="U16" s="6">
        <v>4</v>
      </c>
      <c r="V16">
        <f t="shared" si="0"/>
        <v>12</v>
      </c>
      <c r="W16" t="str">
        <f t="shared" si="1"/>
        <v>Élevé</v>
      </c>
      <c r="X16" s="7" t="s">
        <v>307</v>
      </c>
      <c r="Y16" s="8" t="s">
        <v>157</v>
      </c>
      <c r="Z16" s="8" t="s">
        <v>160</v>
      </c>
      <c r="AA16" s="8" t="s">
        <v>163</v>
      </c>
      <c r="AB16" s="6">
        <v>2</v>
      </c>
      <c r="AC16" s="6">
        <v>4</v>
      </c>
      <c r="AD16">
        <f t="shared" si="2"/>
        <v>8</v>
      </c>
      <c r="AE16" s="9" t="str">
        <f t="shared" si="3"/>
        <v>Modéré</v>
      </c>
      <c r="AF16" t="s">
        <v>177</v>
      </c>
      <c r="AG16" s="14" t="str">
        <f t="shared" si="4"/>
        <v>Hors appétit</v>
      </c>
      <c r="AH16" t="s">
        <v>283</v>
      </c>
      <c r="AI16" s="2" t="s">
        <v>381</v>
      </c>
      <c r="AJ16" t="s">
        <v>366</v>
      </c>
      <c r="AK16" s="11">
        <v>46292</v>
      </c>
      <c r="AL16" t="s">
        <v>300</v>
      </c>
      <c r="AM16" s="11">
        <v>45992</v>
      </c>
      <c r="AN16" t="s">
        <v>286</v>
      </c>
      <c r="AO16" s="6">
        <v>2</v>
      </c>
      <c r="AP16" s="12">
        <v>421000</v>
      </c>
      <c r="AQ16" s="12">
        <v>3200</v>
      </c>
      <c r="AR16" s="15" t="s">
        <v>107</v>
      </c>
      <c r="AS16" s="2" t="s">
        <v>382</v>
      </c>
      <c r="AT16" s="2" t="s">
        <v>288</v>
      </c>
    </row>
    <row r="17" spans="1:46" ht="64" x14ac:dyDescent="0.2">
      <c r="A17" t="s">
        <v>383</v>
      </c>
      <c r="B17" t="s">
        <v>268</v>
      </c>
      <c r="C17" t="s">
        <v>362</v>
      </c>
      <c r="D17" t="s">
        <v>363</v>
      </c>
      <c r="E17" t="s">
        <v>364</v>
      </c>
      <c r="F17" t="s">
        <v>365</v>
      </c>
      <c r="G17" t="s">
        <v>366</v>
      </c>
      <c r="H17" t="s">
        <v>313</v>
      </c>
      <c r="I17" t="s">
        <v>314</v>
      </c>
      <c r="J17" s="2" t="s">
        <v>384</v>
      </c>
      <c r="K17" s="2" t="s">
        <v>368</v>
      </c>
      <c r="L17" s="2" t="s">
        <v>316</v>
      </c>
      <c r="M17" s="2" t="s">
        <v>385</v>
      </c>
      <c r="N17" s="4" t="s">
        <v>386</v>
      </c>
      <c r="O17" s="4" t="s">
        <v>296</v>
      </c>
      <c r="P17" s="5">
        <v>0</v>
      </c>
      <c r="Q17" s="5">
        <v>3</v>
      </c>
      <c r="R17" s="5">
        <v>6</v>
      </c>
      <c r="S17" s="5">
        <v>3</v>
      </c>
      <c r="T17" s="6">
        <v>3</v>
      </c>
      <c r="U17" s="6">
        <v>4</v>
      </c>
      <c r="V17">
        <f t="shared" si="0"/>
        <v>12</v>
      </c>
      <c r="W17" t="str">
        <f t="shared" si="1"/>
        <v>Élevé</v>
      </c>
      <c r="X17" s="7" t="s">
        <v>319</v>
      </c>
      <c r="Y17" s="8" t="s">
        <v>320</v>
      </c>
      <c r="Z17" s="8" t="s">
        <v>160</v>
      </c>
      <c r="AA17" s="8" t="s">
        <v>321</v>
      </c>
      <c r="AB17" s="6">
        <v>2</v>
      </c>
      <c r="AC17" s="6">
        <v>3</v>
      </c>
      <c r="AD17">
        <f t="shared" si="2"/>
        <v>6</v>
      </c>
      <c r="AE17" s="9" t="str">
        <f t="shared" si="3"/>
        <v>Modéré</v>
      </c>
      <c r="AF17" t="s">
        <v>177</v>
      </c>
      <c r="AG17" s="10" t="str">
        <f t="shared" si="4"/>
        <v>Dans lappétit</v>
      </c>
      <c r="AH17" t="s">
        <v>322</v>
      </c>
      <c r="AI17" s="2" t="s">
        <v>387</v>
      </c>
      <c r="AJ17" t="s">
        <v>366</v>
      </c>
      <c r="AK17" s="11">
        <v>46303</v>
      </c>
      <c r="AL17" t="s">
        <v>310</v>
      </c>
      <c r="AM17" s="11">
        <v>45986</v>
      </c>
      <c r="AN17" t="s">
        <v>286</v>
      </c>
      <c r="AO17" s="6">
        <v>1</v>
      </c>
      <c r="AP17" s="12">
        <v>437000</v>
      </c>
      <c r="AQ17" s="12">
        <v>3450</v>
      </c>
      <c r="AR17" s="2" t="s">
        <v>314</v>
      </c>
      <c r="AS17" s="2" t="s">
        <v>388</v>
      </c>
      <c r="AT17" s="2" t="s">
        <v>288</v>
      </c>
    </row>
    <row r="18" spans="1:46" ht="48" x14ac:dyDescent="0.2">
      <c r="A18" t="s">
        <v>389</v>
      </c>
      <c r="B18" t="s">
        <v>268</v>
      </c>
      <c r="C18" t="s">
        <v>362</v>
      </c>
      <c r="D18" t="s">
        <v>390</v>
      </c>
      <c r="E18" t="s">
        <v>364</v>
      </c>
      <c r="F18" t="s">
        <v>365</v>
      </c>
      <c r="G18" t="s">
        <v>391</v>
      </c>
      <c r="H18" t="s">
        <v>274</v>
      </c>
      <c r="I18" t="s">
        <v>275</v>
      </c>
      <c r="J18" s="2" t="s">
        <v>392</v>
      </c>
      <c r="K18" s="2" t="s">
        <v>368</v>
      </c>
      <c r="L18" s="2" t="s">
        <v>278</v>
      </c>
      <c r="M18" s="2" t="s">
        <v>279</v>
      </c>
      <c r="N18" s="4" t="s">
        <v>393</v>
      </c>
      <c r="O18" s="4" t="s">
        <v>281</v>
      </c>
      <c r="P18" s="5">
        <v>1</v>
      </c>
      <c r="Q18" s="5">
        <v>2.5</v>
      </c>
      <c r="R18" s="5">
        <v>4</v>
      </c>
      <c r="S18" s="5">
        <v>2.7</v>
      </c>
      <c r="T18" s="6">
        <v>4</v>
      </c>
      <c r="U18" s="6">
        <v>4</v>
      </c>
      <c r="V18">
        <f t="shared" si="0"/>
        <v>16</v>
      </c>
      <c r="W18" t="str">
        <f t="shared" si="1"/>
        <v>Critique</v>
      </c>
      <c r="X18" s="7" t="s">
        <v>282</v>
      </c>
      <c r="Y18" s="8" t="s">
        <v>157</v>
      </c>
      <c r="Z18" s="8" t="s">
        <v>160</v>
      </c>
      <c r="AA18" s="8" t="s">
        <v>177</v>
      </c>
      <c r="AB18" s="6">
        <v>4</v>
      </c>
      <c r="AC18" s="6">
        <v>4</v>
      </c>
      <c r="AD18">
        <f t="shared" si="2"/>
        <v>16</v>
      </c>
      <c r="AE18" s="13" t="str">
        <f t="shared" si="3"/>
        <v>Critique</v>
      </c>
      <c r="AF18" t="s">
        <v>174</v>
      </c>
      <c r="AG18" s="14" t="str">
        <f t="shared" si="4"/>
        <v>Hors appétit</v>
      </c>
      <c r="AH18" t="s">
        <v>283</v>
      </c>
      <c r="AI18" s="2" t="s">
        <v>394</v>
      </c>
      <c r="AJ18" t="s">
        <v>391</v>
      </c>
      <c r="AK18" s="11">
        <v>46314</v>
      </c>
      <c r="AL18" t="s">
        <v>196</v>
      </c>
      <c r="AM18" s="11">
        <v>45980</v>
      </c>
      <c r="AN18" t="s">
        <v>160</v>
      </c>
      <c r="AO18" s="6">
        <v>4</v>
      </c>
      <c r="AP18" s="12">
        <v>376000</v>
      </c>
      <c r="AQ18" s="12">
        <v>3050</v>
      </c>
      <c r="AR18" s="2" t="s">
        <v>275</v>
      </c>
      <c r="AS18" s="2" t="s">
        <v>371</v>
      </c>
      <c r="AT18" s="2" t="s">
        <v>288</v>
      </c>
    </row>
    <row r="19" spans="1:46" ht="64" x14ac:dyDescent="0.2">
      <c r="A19" t="s">
        <v>395</v>
      </c>
      <c r="B19" t="s">
        <v>268</v>
      </c>
      <c r="C19" t="s">
        <v>362</v>
      </c>
      <c r="D19" t="s">
        <v>390</v>
      </c>
      <c r="E19" t="s">
        <v>364</v>
      </c>
      <c r="F19" t="s">
        <v>365</v>
      </c>
      <c r="G19" t="s">
        <v>391</v>
      </c>
      <c r="H19" t="s">
        <v>290</v>
      </c>
      <c r="I19" t="s">
        <v>373</v>
      </c>
      <c r="J19" s="2" t="s">
        <v>396</v>
      </c>
      <c r="K19" s="2" t="s">
        <v>368</v>
      </c>
      <c r="L19" s="2" t="s">
        <v>293</v>
      </c>
      <c r="M19" s="2" t="s">
        <v>294</v>
      </c>
      <c r="N19" s="4" t="s">
        <v>397</v>
      </c>
      <c r="O19" s="4" t="s">
        <v>296</v>
      </c>
      <c r="P19" s="5">
        <v>0</v>
      </c>
      <c r="Q19" s="5">
        <v>2</v>
      </c>
      <c r="R19" s="5">
        <v>4</v>
      </c>
      <c r="S19" s="5">
        <v>4</v>
      </c>
      <c r="T19" s="6">
        <v>3</v>
      </c>
      <c r="U19" s="6">
        <v>4</v>
      </c>
      <c r="V19">
        <f t="shared" si="0"/>
        <v>12</v>
      </c>
      <c r="W19" t="str">
        <f t="shared" si="1"/>
        <v>Élevé</v>
      </c>
      <c r="X19" s="7" t="s">
        <v>297</v>
      </c>
      <c r="Y19" s="8" t="s">
        <v>298</v>
      </c>
      <c r="Z19" s="8" t="s">
        <v>202</v>
      </c>
      <c r="AA19" s="8" t="s">
        <v>163</v>
      </c>
      <c r="AB19" s="6">
        <v>2</v>
      </c>
      <c r="AC19" s="6">
        <v>4</v>
      </c>
      <c r="AD19">
        <f t="shared" si="2"/>
        <v>8</v>
      </c>
      <c r="AE19" s="9" t="str">
        <f t="shared" si="3"/>
        <v>Modéré</v>
      </c>
      <c r="AF19" t="s">
        <v>177</v>
      </c>
      <c r="AG19" s="14" t="str">
        <f t="shared" si="4"/>
        <v>Hors appétit</v>
      </c>
      <c r="AH19" t="s">
        <v>283</v>
      </c>
      <c r="AI19" s="2" t="s">
        <v>398</v>
      </c>
      <c r="AJ19" t="s">
        <v>391</v>
      </c>
      <c r="AK19" s="11">
        <v>46325</v>
      </c>
      <c r="AL19" t="s">
        <v>196</v>
      </c>
      <c r="AM19" s="11">
        <v>45974</v>
      </c>
      <c r="AN19" t="s">
        <v>286</v>
      </c>
      <c r="AO19" s="6">
        <v>2</v>
      </c>
      <c r="AP19" s="12">
        <v>299000</v>
      </c>
      <c r="AQ19" s="12">
        <v>3300</v>
      </c>
      <c r="AR19" s="2" t="s">
        <v>373</v>
      </c>
      <c r="AS19" s="2" t="s">
        <v>377</v>
      </c>
      <c r="AT19" s="2" t="s">
        <v>288</v>
      </c>
    </row>
    <row r="20" spans="1:46" ht="64" x14ac:dyDescent="0.2">
      <c r="A20" t="s">
        <v>399</v>
      </c>
      <c r="B20" t="s">
        <v>268</v>
      </c>
      <c r="C20" t="s">
        <v>362</v>
      </c>
      <c r="D20" t="s">
        <v>390</v>
      </c>
      <c r="E20" t="s">
        <v>364</v>
      </c>
      <c r="F20" t="s">
        <v>365</v>
      </c>
      <c r="G20" t="s">
        <v>391</v>
      </c>
      <c r="H20" t="s">
        <v>104</v>
      </c>
      <c r="I20" t="s">
        <v>107</v>
      </c>
      <c r="J20" s="2" t="s">
        <v>400</v>
      </c>
      <c r="K20" s="2" t="s">
        <v>368</v>
      </c>
      <c r="L20" s="2" t="s">
        <v>304</v>
      </c>
      <c r="M20" s="2" t="s">
        <v>305</v>
      </c>
      <c r="N20" s="4" t="s">
        <v>401</v>
      </c>
      <c r="O20" s="4" t="s">
        <v>296</v>
      </c>
      <c r="P20" s="5">
        <v>0</v>
      </c>
      <c r="Q20" s="5">
        <v>1</v>
      </c>
      <c r="R20" s="5">
        <v>3</v>
      </c>
      <c r="S20" s="5">
        <v>3</v>
      </c>
      <c r="T20" s="6">
        <v>3</v>
      </c>
      <c r="U20" s="6">
        <v>4</v>
      </c>
      <c r="V20">
        <f t="shared" si="0"/>
        <v>12</v>
      </c>
      <c r="W20" t="str">
        <f t="shared" si="1"/>
        <v>Élevé</v>
      </c>
      <c r="X20" s="7" t="s">
        <v>307</v>
      </c>
      <c r="Y20" s="8" t="s">
        <v>157</v>
      </c>
      <c r="Z20" s="8" t="s">
        <v>160</v>
      </c>
      <c r="AA20" s="8" t="s">
        <v>163</v>
      </c>
      <c r="AB20" s="6">
        <v>2</v>
      </c>
      <c r="AC20" s="6">
        <v>4</v>
      </c>
      <c r="AD20">
        <f t="shared" si="2"/>
        <v>8</v>
      </c>
      <c r="AE20" s="9" t="str">
        <f t="shared" si="3"/>
        <v>Modéré</v>
      </c>
      <c r="AF20" t="s">
        <v>177</v>
      </c>
      <c r="AG20" s="14" t="str">
        <f t="shared" si="4"/>
        <v>Hors appétit</v>
      </c>
      <c r="AH20" t="s">
        <v>283</v>
      </c>
      <c r="AI20" s="2" t="s">
        <v>402</v>
      </c>
      <c r="AJ20" t="s">
        <v>391</v>
      </c>
      <c r="AK20" s="11">
        <v>46336</v>
      </c>
      <c r="AL20" t="s">
        <v>300</v>
      </c>
      <c r="AM20" s="11">
        <v>45968</v>
      </c>
      <c r="AN20" t="s">
        <v>286</v>
      </c>
      <c r="AO20" s="6">
        <v>2</v>
      </c>
      <c r="AP20" s="12">
        <v>434000</v>
      </c>
      <c r="AQ20" s="12">
        <v>3550</v>
      </c>
      <c r="AR20" s="15" t="s">
        <v>107</v>
      </c>
      <c r="AS20" s="2" t="s">
        <v>382</v>
      </c>
      <c r="AT20" s="2" t="s">
        <v>288</v>
      </c>
    </row>
    <row r="21" spans="1:46" ht="64" x14ac:dyDescent="0.2">
      <c r="A21" t="s">
        <v>403</v>
      </c>
      <c r="B21" t="s">
        <v>268</v>
      </c>
      <c r="C21" t="s">
        <v>362</v>
      </c>
      <c r="D21" t="s">
        <v>390</v>
      </c>
      <c r="E21" t="s">
        <v>364</v>
      </c>
      <c r="F21" t="s">
        <v>365</v>
      </c>
      <c r="G21" t="s">
        <v>391</v>
      </c>
      <c r="H21" t="s">
        <v>313</v>
      </c>
      <c r="I21" t="s">
        <v>314</v>
      </c>
      <c r="J21" s="2" t="s">
        <v>404</v>
      </c>
      <c r="K21" s="2" t="s">
        <v>368</v>
      </c>
      <c r="L21" s="2" t="s">
        <v>316</v>
      </c>
      <c r="M21" s="2" t="s">
        <v>385</v>
      </c>
      <c r="N21" s="4" t="s">
        <v>405</v>
      </c>
      <c r="O21" s="4" t="s">
        <v>296</v>
      </c>
      <c r="P21" s="5">
        <v>0</v>
      </c>
      <c r="Q21" s="5">
        <v>3</v>
      </c>
      <c r="R21" s="5">
        <v>6</v>
      </c>
      <c r="S21" s="5">
        <v>3</v>
      </c>
      <c r="T21" s="6">
        <v>3</v>
      </c>
      <c r="U21" s="6">
        <v>4</v>
      </c>
      <c r="V21">
        <f t="shared" si="0"/>
        <v>12</v>
      </c>
      <c r="W21" t="str">
        <f t="shared" si="1"/>
        <v>Élevé</v>
      </c>
      <c r="X21" s="7" t="s">
        <v>319</v>
      </c>
      <c r="Y21" s="8" t="s">
        <v>320</v>
      </c>
      <c r="Z21" s="8" t="s">
        <v>160</v>
      </c>
      <c r="AA21" s="8" t="s">
        <v>163</v>
      </c>
      <c r="AB21" s="6">
        <v>2</v>
      </c>
      <c r="AC21" s="6">
        <v>4</v>
      </c>
      <c r="AD21">
        <f t="shared" si="2"/>
        <v>8</v>
      </c>
      <c r="AE21" s="9" t="str">
        <f t="shared" si="3"/>
        <v>Modéré</v>
      </c>
      <c r="AF21" t="s">
        <v>177</v>
      </c>
      <c r="AG21" s="14" t="str">
        <f t="shared" si="4"/>
        <v>Hors appétit</v>
      </c>
      <c r="AH21" t="s">
        <v>283</v>
      </c>
      <c r="AI21" s="2" t="s">
        <v>406</v>
      </c>
      <c r="AJ21" t="s">
        <v>391</v>
      </c>
      <c r="AK21" s="11">
        <v>46347</v>
      </c>
      <c r="AL21" t="s">
        <v>310</v>
      </c>
      <c r="AM21" s="11">
        <v>46082</v>
      </c>
      <c r="AN21" t="s">
        <v>286</v>
      </c>
      <c r="AO21" s="6">
        <v>2</v>
      </c>
      <c r="AP21" s="12">
        <v>449000</v>
      </c>
      <c r="AQ21" s="12">
        <v>3800</v>
      </c>
      <c r="AR21" s="2" t="s">
        <v>314</v>
      </c>
      <c r="AS21" s="2" t="s">
        <v>388</v>
      </c>
      <c r="AT21" s="2" t="s">
        <v>288</v>
      </c>
    </row>
    <row r="22" spans="1:46" ht="48" x14ac:dyDescent="0.2">
      <c r="A22" t="s">
        <v>407</v>
      </c>
      <c r="B22" t="s">
        <v>268</v>
      </c>
      <c r="C22" t="s">
        <v>362</v>
      </c>
      <c r="D22" t="s">
        <v>408</v>
      </c>
      <c r="E22" t="s">
        <v>364</v>
      </c>
      <c r="F22" t="s">
        <v>365</v>
      </c>
      <c r="G22" t="s">
        <v>409</v>
      </c>
      <c r="H22" t="s">
        <v>274</v>
      </c>
      <c r="I22" t="s">
        <v>275</v>
      </c>
      <c r="J22" s="2" t="s">
        <v>410</v>
      </c>
      <c r="K22" s="2" t="s">
        <v>368</v>
      </c>
      <c r="L22" s="2" t="s">
        <v>278</v>
      </c>
      <c r="M22" s="2" t="s">
        <v>279</v>
      </c>
      <c r="N22" s="4" t="s">
        <v>411</v>
      </c>
      <c r="O22" s="4" t="s">
        <v>281</v>
      </c>
      <c r="P22" s="5">
        <v>1</v>
      </c>
      <c r="Q22" s="5">
        <v>2.5</v>
      </c>
      <c r="R22" s="5">
        <v>4</v>
      </c>
      <c r="S22" s="5">
        <v>2</v>
      </c>
      <c r="T22" s="6">
        <v>4</v>
      </c>
      <c r="U22" s="6">
        <v>3</v>
      </c>
      <c r="V22">
        <f t="shared" si="0"/>
        <v>12</v>
      </c>
      <c r="W22" t="str">
        <f t="shared" si="1"/>
        <v>Élevé</v>
      </c>
      <c r="X22" s="7" t="s">
        <v>282</v>
      </c>
      <c r="Y22" s="8" t="s">
        <v>157</v>
      </c>
      <c r="Z22" s="8" t="s">
        <v>160</v>
      </c>
      <c r="AA22" s="8" t="s">
        <v>321</v>
      </c>
      <c r="AB22" s="6">
        <v>2</v>
      </c>
      <c r="AC22" s="6">
        <v>2</v>
      </c>
      <c r="AD22">
        <f t="shared" si="2"/>
        <v>4</v>
      </c>
      <c r="AE22" s="10" t="str">
        <f t="shared" si="3"/>
        <v>Faible</v>
      </c>
      <c r="AF22" t="s">
        <v>174</v>
      </c>
      <c r="AG22" s="10" t="str">
        <f t="shared" si="4"/>
        <v>Dans lappétit</v>
      </c>
      <c r="AH22" t="s">
        <v>322</v>
      </c>
      <c r="AI22" s="2" t="s">
        <v>412</v>
      </c>
      <c r="AJ22" t="s">
        <v>409</v>
      </c>
      <c r="AK22" s="11">
        <v>46358</v>
      </c>
      <c r="AL22" t="s">
        <v>285</v>
      </c>
      <c r="AM22" s="11">
        <v>46076</v>
      </c>
      <c r="AN22" t="s">
        <v>286</v>
      </c>
      <c r="AO22" s="6">
        <v>3</v>
      </c>
      <c r="AP22" s="12">
        <v>297000</v>
      </c>
      <c r="AQ22" s="12">
        <v>3400</v>
      </c>
      <c r="AR22" s="2" t="s">
        <v>275</v>
      </c>
      <c r="AS22" s="2" t="s">
        <v>371</v>
      </c>
      <c r="AT22" s="2" t="s">
        <v>288</v>
      </c>
    </row>
    <row r="23" spans="1:46" ht="64" x14ac:dyDescent="0.2">
      <c r="A23" t="s">
        <v>413</v>
      </c>
      <c r="B23" t="s">
        <v>268</v>
      </c>
      <c r="C23" t="s">
        <v>362</v>
      </c>
      <c r="D23" t="s">
        <v>408</v>
      </c>
      <c r="E23" t="s">
        <v>364</v>
      </c>
      <c r="F23" t="s">
        <v>365</v>
      </c>
      <c r="G23" t="s">
        <v>409</v>
      </c>
      <c r="H23" t="s">
        <v>290</v>
      </c>
      <c r="I23" t="s">
        <v>373</v>
      </c>
      <c r="J23" s="2" t="s">
        <v>414</v>
      </c>
      <c r="K23" s="2" t="s">
        <v>368</v>
      </c>
      <c r="L23" s="2" t="s">
        <v>293</v>
      </c>
      <c r="M23" s="2" t="s">
        <v>294</v>
      </c>
      <c r="N23" s="4" t="s">
        <v>415</v>
      </c>
      <c r="O23" s="4" t="s">
        <v>296</v>
      </c>
      <c r="P23" s="5">
        <v>0</v>
      </c>
      <c r="Q23" s="5">
        <v>2</v>
      </c>
      <c r="R23" s="5">
        <v>4</v>
      </c>
      <c r="S23" s="5">
        <v>3</v>
      </c>
      <c r="T23" s="6">
        <v>3</v>
      </c>
      <c r="U23" s="6">
        <v>4</v>
      </c>
      <c r="V23">
        <f t="shared" si="0"/>
        <v>12</v>
      </c>
      <c r="W23" t="str">
        <f t="shared" si="1"/>
        <v>Élevé</v>
      </c>
      <c r="X23" s="7" t="s">
        <v>297</v>
      </c>
      <c r="Y23" s="8" t="s">
        <v>298</v>
      </c>
      <c r="Z23" s="8" t="s">
        <v>202</v>
      </c>
      <c r="AA23" s="8" t="s">
        <v>321</v>
      </c>
      <c r="AB23" s="6">
        <v>2</v>
      </c>
      <c r="AC23" s="6">
        <v>3</v>
      </c>
      <c r="AD23">
        <f t="shared" si="2"/>
        <v>6</v>
      </c>
      <c r="AE23" s="9" t="str">
        <f t="shared" si="3"/>
        <v>Modéré</v>
      </c>
      <c r="AF23" t="s">
        <v>177</v>
      </c>
      <c r="AG23" s="10" t="str">
        <f t="shared" si="4"/>
        <v>Dans lappétit</v>
      </c>
      <c r="AH23" t="s">
        <v>322</v>
      </c>
      <c r="AI23" s="2" t="s">
        <v>416</v>
      </c>
      <c r="AJ23" t="s">
        <v>409</v>
      </c>
      <c r="AK23" s="11">
        <v>46129</v>
      </c>
      <c r="AL23" t="s">
        <v>196</v>
      </c>
      <c r="AM23" s="11">
        <v>46070</v>
      </c>
      <c r="AN23" t="s">
        <v>286</v>
      </c>
      <c r="AO23" s="6">
        <v>1</v>
      </c>
      <c r="AP23" s="12">
        <v>308000</v>
      </c>
      <c r="AQ23" s="12">
        <v>3650</v>
      </c>
      <c r="AR23" s="2" t="s">
        <v>373</v>
      </c>
      <c r="AS23" s="2" t="s">
        <v>377</v>
      </c>
      <c r="AT23" s="2" t="s">
        <v>288</v>
      </c>
    </row>
    <row r="24" spans="1:46" ht="64" x14ac:dyDescent="0.2">
      <c r="A24" t="s">
        <v>417</v>
      </c>
      <c r="B24" t="s">
        <v>268</v>
      </c>
      <c r="C24" t="s">
        <v>362</v>
      </c>
      <c r="D24" t="s">
        <v>408</v>
      </c>
      <c r="E24" t="s">
        <v>364</v>
      </c>
      <c r="F24" t="s">
        <v>365</v>
      </c>
      <c r="G24" t="s">
        <v>409</v>
      </c>
      <c r="H24" t="s">
        <v>104</v>
      </c>
      <c r="I24" t="s">
        <v>107</v>
      </c>
      <c r="J24" s="2" t="s">
        <v>418</v>
      </c>
      <c r="K24" s="2" t="s">
        <v>368</v>
      </c>
      <c r="L24" s="2" t="s">
        <v>304</v>
      </c>
      <c r="M24" s="2" t="s">
        <v>305</v>
      </c>
      <c r="N24" s="4" t="s">
        <v>419</v>
      </c>
      <c r="O24" s="4" t="s">
        <v>296</v>
      </c>
      <c r="P24" s="5">
        <v>0</v>
      </c>
      <c r="Q24" s="5">
        <v>1</v>
      </c>
      <c r="R24" s="5">
        <v>3</v>
      </c>
      <c r="S24" s="5">
        <v>3</v>
      </c>
      <c r="T24" s="6">
        <v>4</v>
      </c>
      <c r="U24" s="6">
        <v>5</v>
      </c>
      <c r="V24">
        <f t="shared" si="0"/>
        <v>20</v>
      </c>
      <c r="W24" t="str">
        <f t="shared" si="1"/>
        <v>Critique</v>
      </c>
      <c r="X24" s="7" t="s">
        <v>307</v>
      </c>
      <c r="Y24" s="8" t="s">
        <v>157</v>
      </c>
      <c r="Z24" s="8" t="s">
        <v>160</v>
      </c>
      <c r="AA24" s="8" t="s">
        <v>177</v>
      </c>
      <c r="AB24" s="6">
        <v>4</v>
      </c>
      <c r="AC24" s="6">
        <v>5</v>
      </c>
      <c r="AD24">
        <f t="shared" si="2"/>
        <v>20</v>
      </c>
      <c r="AE24" s="13" t="str">
        <f t="shared" si="3"/>
        <v>Critique</v>
      </c>
      <c r="AF24" t="s">
        <v>177</v>
      </c>
      <c r="AG24" s="14" t="str">
        <f t="shared" si="4"/>
        <v>Hors appétit</v>
      </c>
      <c r="AH24" t="s">
        <v>308</v>
      </c>
      <c r="AI24" s="2" t="s">
        <v>420</v>
      </c>
      <c r="AJ24" t="s">
        <v>409</v>
      </c>
      <c r="AK24" s="11">
        <v>46140</v>
      </c>
      <c r="AL24" t="s">
        <v>285</v>
      </c>
      <c r="AM24" s="11">
        <v>46064</v>
      </c>
      <c r="AN24" t="s">
        <v>160</v>
      </c>
      <c r="AO24" s="6">
        <v>3</v>
      </c>
      <c r="AP24" s="12">
        <v>693000</v>
      </c>
      <c r="AQ24" s="12">
        <v>3900</v>
      </c>
      <c r="AR24" s="15" t="s">
        <v>107</v>
      </c>
      <c r="AS24" s="2" t="s">
        <v>382</v>
      </c>
      <c r="AT24" s="2" t="s">
        <v>288</v>
      </c>
    </row>
    <row r="25" spans="1:46" ht="64" x14ac:dyDescent="0.2">
      <c r="A25" t="s">
        <v>421</v>
      </c>
      <c r="B25" t="s">
        <v>268</v>
      </c>
      <c r="C25" t="s">
        <v>362</v>
      </c>
      <c r="D25" t="s">
        <v>408</v>
      </c>
      <c r="E25" t="s">
        <v>364</v>
      </c>
      <c r="F25" t="s">
        <v>365</v>
      </c>
      <c r="G25" t="s">
        <v>409</v>
      </c>
      <c r="H25" t="s">
        <v>313</v>
      </c>
      <c r="I25" t="s">
        <v>314</v>
      </c>
      <c r="J25" s="2" t="s">
        <v>422</v>
      </c>
      <c r="K25" s="2" t="s">
        <v>368</v>
      </c>
      <c r="L25" s="2" t="s">
        <v>316</v>
      </c>
      <c r="M25" s="2" t="s">
        <v>385</v>
      </c>
      <c r="N25" s="4" t="s">
        <v>423</v>
      </c>
      <c r="O25" s="4" t="s">
        <v>296</v>
      </c>
      <c r="P25" s="5">
        <v>0</v>
      </c>
      <c r="Q25" s="5">
        <v>3</v>
      </c>
      <c r="R25" s="5">
        <v>6</v>
      </c>
      <c r="S25" s="5">
        <v>5</v>
      </c>
      <c r="T25" s="6">
        <v>3</v>
      </c>
      <c r="U25" s="6">
        <v>4</v>
      </c>
      <c r="V25">
        <f t="shared" si="0"/>
        <v>12</v>
      </c>
      <c r="W25" t="str">
        <f t="shared" si="1"/>
        <v>Élevé</v>
      </c>
      <c r="X25" s="7" t="s">
        <v>319</v>
      </c>
      <c r="Y25" s="8" t="s">
        <v>320</v>
      </c>
      <c r="Z25" s="8" t="s">
        <v>160</v>
      </c>
      <c r="AA25" s="8" t="s">
        <v>177</v>
      </c>
      <c r="AB25" s="6">
        <v>3</v>
      </c>
      <c r="AC25" s="6">
        <v>4</v>
      </c>
      <c r="AD25">
        <f t="shared" si="2"/>
        <v>12</v>
      </c>
      <c r="AE25" s="14" t="str">
        <f t="shared" si="3"/>
        <v>Élevé</v>
      </c>
      <c r="AF25" t="s">
        <v>177</v>
      </c>
      <c r="AG25" s="14" t="str">
        <f t="shared" si="4"/>
        <v>Hors appétit</v>
      </c>
      <c r="AH25" t="s">
        <v>283</v>
      </c>
      <c r="AI25" s="2" t="s">
        <v>424</v>
      </c>
      <c r="AJ25" t="s">
        <v>409</v>
      </c>
      <c r="AK25" s="11">
        <v>46151</v>
      </c>
      <c r="AL25" t="s">
        <v>310</v>
      </c>
      <c r="AM25" s="11">
        <v>46058</v>
      </c>
      <c r="AN25" t="s">
        <v>202</v>
      </c>
      <c r="AO25" s="6">
        <v>2</v>
      </c>
      <c r="AP25" s="12">
        <v>462000</v>
      </c>
      <c r="AQ25" s="12">
        <v>4150</v>
      </c>
      <c r="AR25" s="2" t="s">
        <v>314</v>
      </c>
      <c r="AS25" s="2" t="s">
        <v>388</v>
      </c>
      <c r="AT25" s="2" t="s">
        <v>288</v>
      </c>
    </row>
    <row r="26" spans="1:46" ht="64" x14ac:dyDescent="0.2">
      <c r="A26" t="s">
        <v>425</v>
      </c>
      <c r="B26" t="s">
        <v>86</v>
      </c>
      <c r="C26" t="s">
        <v>89</v>
      </c>
      <c r="D26" t="s">
        <v>426</v>
      </c>
      <c r="E26" t="s">
        <v>95</v>
      </c>
      <c r="F26" t="s">
        <v>98</v>
      </c>
      <c r="G26" t="s">
        <v>427</v>
      </c>
      <c r="H26" t="s">
        <v>274</v>
      </c>
      <c r="I26" t="s">
        <v>275</v>
      </c>
      <c r="J26" s="2" t="s">
        <v>428</v>
      </c>
      <c r="K26" s="2" t="s">
        <v>429</v>
      </c>
      <c r="L26" s="2" t="s">
        <v>278</v>
      </c>
      <c r="M26" s="2" t="s">
        <v>279</v>
      </c>
      <c r="N26" s="4" t="s">
        <v>430</v>
      </c>
      <c r="O26" s="4" t="s">
        <v>281</v>
      </c>
      <c r="P26" s="5">
        <v>1</v>
      </c>
      <c r="Q26" s="5">
        <v>2.5</v>
      </c>
      <c r="R26" s="5">
        <v>4</v>
      </c>
      <c r="S26" s="5">
        <v>2.2000000000000002</v>
      </c>
      <c r="T26" s="6">
        <v>4</v>
      </c>
      <c r="U26" s="6">
        <v>4</v>
      </c>
      <c r="V26">
        <f t="shared" si="0"/>
        <v>16</v>
      </c>
      <c r="W26" t="str">
        <f t="shared" si="1"/>
        <v>Critique</v>
      </c>
      <c r="X26" s="7" t="s">
        <v>282</v>
      </c>
      <c r="Y26" s="8" t="s">
        <v>157</v>
      </c>
      <c r="Z26" s="8" t="s">
        <v>160</v>
      </c>
      <c r="AA26" s="8" t="s">
        <v>163</v>
      </c>
      <c r="AB26" s="6">
        <v>3</v>
      </c>
      <c r="AC26" s="6">
        <v>4</v>
      </c>
      <c r="AD26">
        <f t="shared" si="2"/>
        <v>12</v>
      </c>
      <c r="AE26" s="14" t="str">
        <f t="shared" si="3"/>
        <v>Élevé</v>
      </c>
      <c r="AF26" t="s">
        <v>174</v>
      </c>
      <c r="AG26" s="14" t="str">
        <f t="shared" si="4"/>
        <v>Hors appétit</v>
      </c>
      <c r="AH26" t="s">
        <v>283</v>
      </c>
      <c r="AI26" s="2" t="s">
        <v>431</v>
      </c>
      <c r="AJ26" t="s">
        <v>427</v>
      </c>
      <c r="AK26" s="11">
        <v>46162</v>
      </c>
      <c r="AL26" t="s">
        <v>196</v>
      </c>
      <c r="AM26" s="11">
        <v>46052</v>
      </c>
      <c r="AN26" t="s">
        <v>202</v>
      </c>
      <c r="AO26" s="6">
        <v>4</v>
      </c>
      <c r="AP26" s="12">
        <v>382000</v>
      </c>
      <c r="AQ26" s="12">
        <v>5440</v>
      </c>
      <c r="AR26" s="2" t="s">
        <v>275</v>
      </c>
      <c r="AS26" s="2" t="s">
        <v>432</v>
      </c>
      <c r="AT26" s="2" t="s">
        <v>288</v>
      </c>
    </row>
    <row r="27" spans="1:46" ht="64" x14ac:dyDescent="0.2">
      <c r="A27" t="s">
        <v>433</v>
      </c>
      <c r="B27" t="s">
        <v>86</v>
      </c>
      <c r="C27" t="s">
        <v>89</v>
      </c>
      <c r="D27" t="s">
        <v>426</v>
      </c>
      <c r="E27" t="s">
        <v>95</v>
      </c>
      <c r="F27" t="s">
        <v>98</v>
      </c>
      <c r="G27" t="s">
        <v>427</v>
      </c>
      <c r="H27" t="s">
        <v>290</v>
      </c>
      <c r="I27" t="s">
        <v>373</v>
      </c>
      <c r="J27" s="2" t="s">
        <v>434</v>
      </c>
      <c r="K27" s="2" t="s">
        <v>429</v>
      </c>
      <c r="L27" s="2" t="s">
        <v>293</v>
      </c>
      <c r="M27" s="2" t="s">
        <v>294</v>
      </c>
      <c r="N27" s="4" t="s">
        <v>435</v>
      </c>
      <c r="O27" s="4" t="s">
        <v>296</v>
      </c>
      <c r="P27" s="5">
        <v>0</v>
      </c>
      <c r="Q27" s="5">
        <v>2</v>
      </c>
      <c r="R27" s="5">
        <v>4</v>
      </c>
      <c r="S27" s="5">
        <v>2</v>
      </c>
      <c r="T27" s="6">
        <v>3</v>
      </c>
      <c r="U27" s="6">
        <v>5</v>
      </c>
      <c r="V27">
        <f t="shared" si="0"/>
        <v>15</v>
      </c>
      <c r="W27" t="str">
        <f t="shared" si="1"/>
        <v>Critique</v>
      </c>
      <c r="X27" s="7" t="s">
        <v>297</v>
      </c>
      <c r="Y27" s="8" t="s">
        <v>298</v>
      </c>
      <c r="Z27" s="8" t="s">
        <v>202</v>
      </c>
      <c r="AA27" s="8" t="s">
        <v>177</v>
      </c>
      <c r="AB27" s="6">
        <v>3</v>
      </c>
      <c r="AC27" s="6">
        <v>5</v>
      </c>
      <c r="AD27">
        <f t="shared" si="2"/>
        <v>15</v>
      </c>
      <c r="AE27" s="13" t="str">
        <f t="shared" si="3"/>
        <v>Critique</v>
      </c>
      <c r="AF27" t="s">
        <v>177</v>
      </c>
      <c r="AG27" s="14" t="str">
        <f t="shared" si="4"/>
        <v>Hors appétit</v>
      </c>
      <c r="AH27" t="s">
        <v>283</v>
      </c>
      <c r="AI27" s="2" t="s">
        <v>436</v>
      </c>
      <c r="AJ27" t="s">
        <v>427</v>
      </c>
      <c r="AK27" s="11">
        <v>46173</v>
      </c>
      <c r="AL27" t="s">
        <v>300</v>
      </c>
      <c r="AM27" s="11">
        <v>46046</v>
      </c>
      <c r="AN27" t="s">
        <v>160</v>
      </c>
      <c r="AO27" s="6">
        <v>2</v>
      </c>
      <c r="AP27" s="12">
        <v>371000</v>
      </c>
      <c r="AQ27" s="12">
        <v>5840</v>
      </c>
      <c r="AR27" s="2" t="s">
        <v>373</v>
      </c>
      <c r="AS27" s="2" t="s">
        <v>437</v>
      </c>
      <c r="AT27" s="2" t="s">
        <v>288</v>
      </c>
    </row>
    <row r="28" spans="1:46" ht="64" x14ac:dyDescent="0.2">
      <c r="A28" t="s">
        <v>438</v>
      </c>
      <c r="B28" t="s">
        <v>86</v>
      </c>
      <c r="C28" t="s">
        <v>89</v>
      </c>
      <c r="D28" t="s">
        <v>426</v>
      </c>
      <c r="E28" t="s">
        <v>95</v>
      </c>
      <c r="F28" t="s">
        <v>98</v>
      </c>
      <c r="G28" t="s">
        <v>427</v>
      </c>
      <c r="H28" t="s">
        <v>104</v>
      </c>
      <c r="I28" t="s">
        <v>107</v>
      </c>
      <c r="J28" s="2" t="s">
        <v>439</v>
      </c>
      <c r="K28" s="2" t="s">
        <v>429</v>
      </c>
      <c r="L28" s="2" t="s">
        <v>304</v>
      </c>
      <c r="M28" s="2" t="s">
        <v>305</v>
      </c>
      <c r="N28" s="4" t="s">
        <v>440</v>
      </c>
      <c r="O28" s="4" t="s">
        <v>296</v>
      </c>
      <c r="P28" s="5">
        <v>0</v>
      </c>
      <c r="Q28" s="5">
        <v>1</v>
      </c>
      <c r="R28" s="5">
        <v>3</v>
      </c>
      <c r="S28" s="5">
        <v>2</v>
      </c>
      <c r="T28" s="6">
        <v>4</v>
      </c>
      <c r="U28" s="6">
        <v>5</v>
      </c>
      <c r="V28">
        <f t="shared" si="0"/>
        <v>20</v>
      </c>
      <c r="W28" t="str">
        <f t="shared" si="1"/>
        <v>Critique</v>
      </c>
      <c r="X28" s="7" t="s">
        <v>307</v>
      </c>
      <c r="Y28" s="8" t="s">
        <v>157</v>
      </c>
      <c r="Z28" s="8" t="s">
        <v>160</v>
      </c>
      <c r="AA28" s="8" t="s">
        <v>163</v>
      </c>
      <c r="AB28" s="6">
        <v>3</v>
      </c>
      <c r="AC28" s="6">
        <v>5</v>
      </c>
      <c r="AD28">
        <f t="shared" si="2"/>
        <v>15</v>
      </c>
      <c r="AE28" s="13" t="str">
        <f t="shared" si="3"/>
        <v>Critique</v>
      </c>
      <c r="AF28" t="s">
        <v>177</v>
      </c>
      <c r="AG28" s="14" t="str">
        <f t="shared" si="4"/>
        <v>Hors appétit</v>
      </c>
      <c r="AH28" t="s">
        <v>308</v>
      </c>
      <c r="AI28" s="2" t="s">
        <v>441</v>
      </c>
      <c r="AJ28" t="s">
        <v>427</v>
      </c>
      <c r="AK28" s="11">
        <v>46184</v>
      </c>
      <c r="AL28" t="s">
        <v>285</v>
      </c>
      <c r="AM28" s="11">
        <v>46040</v>
      </c>
      <c r="AN28" t="s">
        <v>160</v>
      </c>
      <c r="AO28" s="6">
        <v>3</v>
      </c>
      <c r="AP28" s="12">
        <v>689000</v>
      </c>
      <c r="AQ28" s="12">
        <v>6240</v>
      </c>
      <c r="AR28" s="15" t="s">
        <v>107</v>
      </c>
      <c r="AS28" s="2" t="s">
        <v>442</v>
      </c>
      <c r="AT28" s="2" t="s">
        <v>288</v>
      </c>
    </row>
    <row r="29" spans="1:46" ht="64" x14ac:dyDescent="0.2">
      <c r="A29" t="s">
        <v>443</v>
      </c>
      <c r="B29" t="s">
        <v>86</v>
      </c>
      <c r="C29" t="s">
        <v>89</v>
      </c>
      <c r="D29" t="s">
        <v>426</v>
      </c>
      <c r="E29" t="s">
        <v>95</v>
      </c>
      <c r="F29" t="s">
        <v>98</v>
      </c>
      <c r="G29" t="s">
        <v>427</v>
      </c>
      <c r="H29" t="s">
        <v>313</v>
      </c>
      <c r="I29" t="s">
        <v>314</v>
      </c>
      <c r="J29" s="2" t="s">
        <v>444</v>
      </c>
      <c r="K29" s="2" t="s">
        <v>429</v>
      </c>
      <c r="L29" s="2" t="s">
        <v>316</v>
      </c>
      <c r="M29" s="2" t="s">
        <v>445</v>
      </c>
      <c r="N29" s="4" t="s">
        <v>446</v>
      </c>
      <c r="O29" s="4" t="s">
        <v>296</v>
      </c>
      <c r="P29" s="5">
        <v>0</v>
      </c>
      <c r="Q29" s="5">
        <v>3</v>
      </c>
      <c r="R29" s="5">
        <v>6</v>
      </c>
      <c r="S29" s="5">
        <v>5</v>
      </c>
      <c r="T29" s="6">
        <v>3</v>
      </c>
      <c r="U29" s="6">
        <v>5</v>
      </c>
      <c r="V29">
        <f t="shared" si="0"/>
        <v>15</v>
      </c>
      <c r="W29" t="str">
        <f t="shared" si="1"/>
        <v>Critique</v>
      </c>
      <c r="X29" s="7" t="s">
        <v>319</v>
      </c>
      <c r="Y29" s="8" t="s">
        <v>320</v>
      </c>
      <c r="Z29" s="8" t="s">
        <v>160</v>
      </c>
      <c r="AA29" s="8" t="s">
        <v>321</v>
      </c>
      <c r="AB29" s="6">
        <v>2</v>
      </c>
      <c r="AC29" s="6">
        <v>4</v>
      </c>
      <c r="AD29">
        <f t="shared" si="2"/>
        <v>8</v>
      </c>
      <c r="AE29" s="9" t="str">
        <f t="shared" si="3"/>
        <v>Modéré</v>
      </c>
      <c r="AF29" t="s">
        <v>177</v>
      </c>
      <c r="AG29" s="14" t="str">
        <f t="shared" si="4"/>
        <v>Hors appétit</v>
      </c>
      <c r="AH29" t="s">
        <v>283</v>
      </c>
      <c r="AI29" s="2" t="s">
        <v>447</v>
      </c>
      <c r="AJ29" t="s">
        <v>427</v>
      </c>
      <c r="AK29" s="11">
        <v>46195</v>
      </c>
      <c r="AL29" t="s">
        <v>285</v>
      </c>
      <c r="AM29" s="11">
        <v>46034</v>
      </c>
      <c r="AN29" t="s">
        <v>286</v>
      </c>
      <c r="AO29" s="6">
        <v>1</v>
      </c>
      <c r="AP29" s="12">
        <v>550000</v>
      </c>
      <c r="AQ29" s="12">
        <v>6640</v>
      </c>
      <c r="AR29" s="2" t="s">
        <v>314</v>
      </c>
      <c r="AS29" s="2" t="s">
        <v>448</v>
      </c>
      <c r="AT29" s="2" t="s">
        <v>288</v>
      </c>
    </row>
    <row r="30" spans="1:46" ht="64" x14ac:dyDescent="0.2">
      <c r="A30" t="s">
        <v>449</v>
      </c>
      <c r="B30" t="s">
        <v>86</v>
      </c>
      <c r="C30" t="s">
        <v>89</v>
      </c>
      <c r="D30" t="s">
        <v>450</v>
      </c>
      <c r="E30" t="s">
        <v>95</v>
      </c>
      <c r="F30" t="s">
        <v>98</v>
      </c>
      <c r="G30" t="s">
        <v>451</v>
      </c>
      <c r="H30" t="s">
        <v>274</v>
      </c>
      <c r="I30" t="s">
        <v>275</v>
      </c>
      <c r="J30" s="2" t="s">
        <v>452</v>
      </c>
      <c r="K30" s="2" t="s">
        <v>429</v>
      </c>
      <c r="L30" s="2" t="s">
        <v>278</v>
      </c>
      <c r="M30" s="2" t="s">
        <v>279</v>
      </c>
      <c r="N30" s="4" t="s">
        <v>453</v>
      </c>
      <c r="O30" s="4" t="s">
        <v>281</v>
      </c>
      <c r="P30" s="5">
        <v>1</v>
      </c>
      <c r="Q30" s="5">
        <v>2.5</v>
      </c>
      <c r="R30" s="5">
        <v>4</v>
      </c>
      <c r="S30" s="5">
        <v>3.2</v>
      </c>
      <c r="T30" s="6">
        <v>4</v>
      </c>
      <c r="U30" s="6">
        <v>4</v>
      </c>
      <c r="V30">
        <f t="shared" si="0"/>
        <v>16</v>
      </c>
      <c r="W30" t="str">
        <f t="shared" si="1"/>
        <v>Critique</v>
      </c>
      <c r="X30" s="7" t="s">
        <v>282</v>
      </c>
      <c r="Y30" s="8" t="s">
        <v>157</v>
      </c>
      <c r="Z30" s="8" t="s">
        <v>160</v>
      </c>
      <c r="AA30" s="8" t="s">
        <v>177</v>
      </c>
      <c r="AB30" s="6">
        <v>4</v>
      </c>
      <c r="AC30" s="6">
        <v>4</v>
      </c>
      <c r="AD30">
        <f t="shared" si="2"/>
        <v>16</v>
      </c>
      <c r="AE30" s="13" t="str">
        <f t="shared" si="3"/>
        <v>Critique</v>
      </c>
      <c r="AF30" t="s">
        <v>174</v>
      </c>
      <c r="AG30" s="14" t="str">
        <f t="shared" si="4"/>
        <v>Hors appétit</v>
      </c>
      <c r="AH30" t="s">
        <v>283</v>
      </c>
      <c r="AI30" s="2" t="s">
        <v>454</v>
      </c>
      <c r="AJ30" t="s">
        <v>451</v>
      </c>
      <c r="AK30" s="11">
        <v>46206</v>
      </c>
      <c r="AL30" t="s">
        <v>196</v>
      </c>
      <c r="AM30" s="11">
        <v>46028</v>
      </c>
      <c r="AN30" t="s">
        <v>160</v>
      </c>
      <c r="AO30" s="6">
        <v>4</v>
      </c>
      <c r="AP30" s="12">
        <v>391000</v>
      </c>
      <c r="AQ30" s="12">
        <v>6000</v>
      </c>
      <c r="AR30" s="2" t="s">
        <v>275</v>
      </c>
      <c r="AS30" s="2" t="s">
        <v>432</v>
      </c>
      <c r="AT30" s="2" t="s">
        <v>288</v>
      </c>
    </row>
    <row r="31" spans="1:46" ht="64" x14ac:dyDescent="0.2">
      <c r="A31" t="s">
        <v>455</v>
      </c>
      <c r="B31" t="s">
        <v>86</v>
      </c>
      <c r="C31" t="s">
        <v>89</v>
      </c>
      <c r="D31" t="s">
        <v>450</v>
      </c>
      <c r="E31" t="s">
        <v>95</v>
      </c>
      <c r="F31" t="s">
        <v>98</v>
      </c>
      <c r="G31" t="s">
        <v>451</v>
      </c>
      <c r="H31" t="s">
        <v>290</v>
      </c>
      <c r="I31" t="s">
        <v>373</v>
      </c>
      <c r="J31" s="2" t="s">
        <v>456</v>
      </c>
      <c r="K31" s="2" t="s">
        <v>429</v>
      </c>
      <c r="L31" s="2" t="s">
        <v>293</v>
      </c>
      <c r="M31" s="2" t="s">
        <v>294</v>
      </c>
      <c r="N31" s="4" t="s">
        <v>457</v>
      </c>
      <c r="O31" s="4" t="s">
        <v>296</v>
      </c>
      <c r="P31" s="5">
        <v>0</v>
      </c>
      <c r="Q31" s="5">
        <v>2</v>
      </c>
      <c r="R31" s="5">
        <v>4</v>
      </c>
      <c r="S31" s="5">
        <v>2</v>
      </c>
      <c r="T31" s="6">
        <v>4</v>
      </c>
      <c r="U31" s="6">
        <v>5</v>
      </c>
      <c r="V31">
        <f t="shared" si="0"/>
        <v>20</v>
      </c>
      <c r="W31" t="str">
        <f t="shared" si="1"/>
        <v>Critique</v>
      </c>
      <c r="X31" s="7" t="s">
        <v>297</v>
      </c>
      <c r="Y31" s="8" t="s">
        <v>298</v>
      </c>
      <c r="Z31" s="8" t="s">
        <v>202</v>
      </c>
      <c r="AA31" s="8" t="s">
        <v>163</v>
      </c>
      <c r="AB31" s="6">
        <v>3</v>
      </c>
      <c r="AC31" s="6">
        <v>5</v>
      </c>
      <c r="AD31">
        <f t="shared" si="2"/>
        <v>15</v>
      </c>
      <c r="AE31" s="13" t="str">
        <f t="shared" si="3"/>
        <v>Critique</v>
      </c>
      <c r="AF31" t="s">
        <v>177</v>
      </c>
      <c r="AG31" s="14" t="str">
        <f t="shared" si="4"/>
        <v>Hors appétit</v>
      </c>
      <c r="AH31" t="s">
        <v>283</v>
      </c>
      <c r="AI31" s="2" t="s">
        <v>458</v>
      </c>
      <c r="AJ31" t="s">
        <v>451</v>
      </c>
      <c r="AK31" s="11">
        <v>46217</v>
      </c>
      <c r="AL31" t="s">
        <v>310</v>
      </c>
      <c r="AM31" s="11">
        <v>46022</v>
      </c>
      <c r="AN31" t="s">
        <v>160</v>
      </c>
      <c r="AO31" s="6">
        <v>3</v>
      </c>
      <c r="AP31" s="12">
        <v>490000</v>
      </c>
      <c r="AQ31" s="12">
        <v>6400</v>
      </c>
      <c r="AR31" s="2" t="s">
        <v>373</v>
      </c>
      <c r="AS31" s="2" t="s">
        <v>437</v>
      </c>
      <c r="AT31" s="2" t="s">
        <v>288</v>
      </c>
    </row>
    <row r="32" spans="1:46" ht="64" x14ac:dyDescent="0.2">
      <c r="A32" t="s">
        <v>459</v>
      </c>
      <c r="B32" t="s">
        <v>86</v>
      </c>
      <c r="C32" t="s">
        <v>89</v>
      </c>
      <c r="D32" t="s">
        <v>450</v>
      </c>
      <c r="E32" t="s">
        <v>95</v>
      </c>
      <c r="F32" t="s">
        <v>98</v>
      </c>
      <c r="G32" t="s">
        <v>451</v>
      </c>
      <c r="H32" t="s">
        <v>104</v>
      </c>
      <c r="I32" t="s">
        <v>107</v>
      </c>
      <c r="J32" s="2" t="s">
        <v>460</v>
      </c>
      <c r="K32" s="2" t="s">
        <v>429</v>
      </c>
      <c r="L32" s="2" t="s">
        <v>304</v>
      </c>
      <c r="M32" s="2" t="s">
        <v>305</v>
      </c>
      <c r="N32" s="4" t="s">
        <v>461</v>
      </c>
      <c r="O32" s="4" t="s">
        <v>296</v>
      </c>
      <c r="P32" s="5">
        <v>0</v>
      </c>
      <c r="Q32" s="5">
        <v>1</v>
      </c>
      <c r="R32" s="5">
        <v>3</v>
      </c>
      <c r="S32" s="5">
        <v>1</v>
      </c>
      <c r="T32" s="6">
        <v>4</v>
      </c>
      <c r="U32" s="6">
        <v>5</v>
      </c>
      <c r="V32">
        <f t="shared" si="0"/>
        <v>20</v>
      </c>
      <c r="W32" t="str">
        <f t="shared" si="1"/>
        <v>Critique</v>
      </c>
      <c r="X32" s="7" t="s">
        <v>307</v>
      </c>
      <c r="Y32" s="8" t="s">
        <v>157</v>
      </c>
      <c r="Z32" s="8" t="s">
        <v>160</v>
      </c>
      <c r="AA32" s="8" t="s">
        <v>163</v>
      </c>
      <c r="AB32" s="6">
        <v>3</v>
      </c>
      <c r="AC32" s="6">
        <v>5</v>
      </c>
      <c r="AD32">
        <f t="shared" si="2"/>
        <v>15</v>
      </c>
      <c r="AE32" s="13" t="str">
        <f t="shared" si="3"/>
        <v>Critique</v>
      </c>
      <c r="AF32" t="s">
        <v>177</v>
      </c>
      <c r="AG32" s="14" t="str">
        <f t="shared" si="4"/>
        <v>Hors appétit</v>
      </c>
      <c r="AH32" t="s">
        <v>308</v>
      </c>
      <c r="AI32" s="2" t="s">
        <v>462</v>
      </c>
      <c r="AJ32" t="s">
        <v>451</v>
      </c>
      <c r="AK32" s="11">
        <v>46228</v>
      </c>
      <c r="AL32" t="s">
        <v>285</v>
      </c>
      <c r="AM32" s="11">
        <v>46016</v>
      </c>
      <c r="AN32" t="s">
        <v>160</v>
      </c>
      <c r="AO32" s="6">
        <v>3</v>
      </c>
      <c r="AP32" s="12">
        <v>701000</v>
      </c>
      <c r="AQ32" s="12">
        <v>6800</v>
      </c>
      <c r="AR32" s="15" t="s">
        <v>107</v>
      </c>
      <c r="AS32" s="2" t="s">
        <v>442</v>
      </c>
      <c r="AT32" s="2" t="s">
        <v>288</v>
      </c>
    </row>
    <row r="33" spans="1:46" ht="64" x14ac:dyDescent="0.2">
      <c r="A33" t="s">
        <v>463</v>
      </c>
      <c r="B33" t="s">
        <v>86</v>
      </c>
      <c r="C33" t="s">
        <v>89</v>
      </c>
      <c r="D33" t="s">
        <v>450</v>
      </c>
      <c r="E33" t="s">
        <v>95</v>
      </c>
      <c r="F33" t="s">
        <v>98</v>
      </c>
      <c r="G33" t="s">
        <v>451</v>
      </c>
      <c r="H33" t="s">
        <v>313</v>
      </c>
      <c r="I33" t="s">
        <v>314</v>
      </c>
      <c r="J33" s="2" t="s">
        <v>464</v>
      </c>
      <c r="K33" s="2" t="s">
        <v>429</v>
      </c>
      <c r="L33" s="2" t="s">
        <v>316</v>
      </c>
      <c r="M33" s="2" t="s">
        <v>445</v>
      </c>
      <c r="N33" s="4" t="s">
        <v>465</v>
      </c>
      <c r="O33" s="4" t="s">
        <v>296</v>
      </c>
      <c r="P33" s="5">
        <v>0</v>
      </c>
      <c r="Q33" s="5">
        <v>3</v>
      </c>
      <c r="R33" s="5">
        <v>6</v>
      </c>
      <c r="S33" s="5">
        <v>4</v>
      </c>
      <c r="T33" s="6">
        <v>3</v>
      </c>
      <c r="U33" s="6">
        <v>5</v>
      </c>
      <c r="V33">
        <f t="shared" si="0"/>
        <v>15</v>
      </c>
      <c r="W33" t="str">
        <f t="shared" si="1"/>
        <v>Critique</v>
      </c>
      <c r="X33" s="7" t="s">
        <v>319</v>
      </c>
      <c r="Y33" s="8" t="s">
        <v>320</v>
      </c>
      <c r="Z33" s="8" t="s">
        <v>160</v>
      </c>
      <c r="AA33" s="8" t="s">
        <v>163</v>
      </c>
      <c r="AB33" s="6">
        <v>2</v>
      </c>
      <c r="AC33" s="6">
        <v>5</v>
      </c>
      <c r="AD33">
        <f t="shared" si="2"/>
        <v>10</v>
      </c>
      <c r="AE33" s="14" t="str">
        <f t="shared" si="3"/>
        <v>Élevé</v>
      </c>
      <c r="AF33" t="s">
        <v>177</v>
      </c>
      <c r="AG33" s="14" t="str">
        <f t="shared" si="4"/>
        <v>Hors appétit</v>
      </c>
      <c r="AH33" t="s">
        <v>283</v>
      </c>
      <c r="AI33" s="2" t="s">
        <v>466</v>
      </c>
      <c r="AJ33" t="s">
        <v>451</v>
      </c>
      <c r="AK33" s="11">
        <v>46239</v>
      </c>
      <c r="AL33" t="s">
        <v>285</v>
      </c>
      <c r="AM33" s="11">
        <v>46010</v>
      </c>
      <c r="AN33" t="s">
        <v>202</v>
      </c>
      <c r="AO33" s="6">
        <v>2</v>
      </c>
      <c r="AP33" s="12">
        <v>563000</v>
      </c>
      <c r="AQ33" s="12">
        <v>7200</v>
      </c>
      <c r="AR33" s="2" t="s">
        <v>314</v>
      </c>
      <c r="AS33" s="2" t="s">
        <v>448</v>
      </c>
      <c r="AT33" s="2" t="s">
        <v>288</v>
      </c>
    </row>
    <row r="34" spans="1:46" ht="64" x14ac:dyDescent="0.2">
      <c r="A34" t="s">
        <v>467</v>
      </c>
      <c r="B34" t="s">
        <v>86</v>
      </c>
      <c r="C34" t="s">
        <v>89</v>
      </c>
      <c r="D34" t="s">
        <v>92</v>
      </c>
      <c r="E34" t="s">
        <v>95</v>
      </c>
      <c r="F34" t="s">
        <v>98</v>
      </c>
      <c r="G34" t="s">
        <v>101</v>
      </c>
      <c r="H34" t="s">
        <v>274</v>
      </c>
      <c r="I34" t="s">
        <v>275</v>
      </c>
      <c r="J34" s="2" t="s">
        <v>468</v>
      </c>
      <c r="K34" s="2" t="s">
        <v>429</v>
      </c>
      <c r="L34" s="2" t="s">
        <v>278</v>
      </c>
      <c r="M34" s="2" t="s">
        <v>279</v>
      </c>
      <c r="N34" s="4" t="s">
        <v>469</v>
      </c>
      <c r="O34" s="4" t="s">
        <v>281</v>
      </c>
      <c r="P34" s="5">
        <v>1</v>
      </c>
      <c r="Q34" s="5">
        <v>2.5</v>
      </c>
      <c r="R34" s="5">
        <v>4</v>
      </c>
      <c r="S34" s="5">
        <v>2.5</v>
      </c>
      <c r="T34" s="6">
        <v>4</v>
      </c>
      <c r="U34" s="6">
        <v>4</v>
      </c>
      <c r="V34">
        <f t="shared" ref="V34:V65" si="5">T34*U34</f>
        <v>16</v>
      </c>
      <c r="W34" t="str">
        <f t="shared" ref="W34:W65" si="6">IF(V34&gt;=15,"Critique",IF(V34&gt;=10,"Élevé",IF(V34&gt;=6,"Modéré","Faible")))</f>
        <v>Critique</v>
      </c>
      <c r="X34" s="7" t="s">
        <v>282</v>
      </c>
      <c r="Y34" s="8" t="s">
        <v>157</v>
      </c>
      <c r="Z34" s="8" t="s">
        <v>160</v>
      </c>
      <c r="AA34" s="8" t="s">
        <v>321</v>
      </c>
      <c r="AB34" s="6">
        <v>2</v>
      </c>
      <c r="AC34" s="6">
        <v>3</v>
      </c>
      <c r="AD34">
        <f t="shared" ref="AD34:AD65" si="7">AB34*AC34</f>
        <v>6</v>
      </c>
      <c r="AE34" s="9" t="str">
        <f t="shared" ref="AE34:AE65" si="8">IF(AD34&gt;=15,"Critique",IF(AD34&gt;=10,"Élevé",IF(AD34&gt;=6,"Modéré","Faible")))</f>
        <v>Modéré</v>
      </c>
      <c r="AF34" t="s">
        <v>174</v>
      </c>
      <c r="AG34" s="10" t="str">
        <f t="shared" ref="AG34:AG65" si="9">IF(AD34&lt;=IF(AF34="Faible",6,IF(AF34="Modéré",9,12)),"Dans lappétit","Hors appétit")</f>
        <v>Dans lappétit</v>
      </c>
      <c r="AH34" t="s">
        <v>322</v>
      </c>
      <c r="AI34" s="2" t="s">
        <v>470</v>
      </c>
      <c r="AJ34" t="s">
        <v>101</v>
      </c>
      <c r="AK34" s="11">
        <v>46250</v>
      </c>
      <c r="AL34" t="s">
        <v>196</v>
      </c>
      <c r="AM34" s="11">
        <v>46004</v>
      </c>
      <c r="AN34" t="s">
        <v>286</v>
      </c>
      <c r="AO34" s="6">
        <v>3</v>
      </c>
      <c r="AP34" s="12">
        <v>400000</v>
      </c>
      <c r="AQ34" s="12">
        <v>6560</v>
      </c>
      <c r="AR34" s="2" t="s">
        <v>275</v>
      </c>
      <c r="AS34" s="2" t="s">
        <v>432</v>
      </c>
      <c r="AT34" s="2" t="s">
        <v>288</v>
      </c>
    </row>
    <row r="35" spans="1:46" ht="64" x14ac:dyDescent="0.2">
      <c r="A35" t="s">
        <v>471</v>
      </c>
      <c r="B35" t="s">
        <v>86</v>
      </c>
      <c r="C35" t="s">
        <v>89</v>
      </c>
      <c r="D35" t="s">
        <v>92</v>
      </c>
      <c r="E35" t="s">
        <v>95</v>
      </c>
      <c r="F35" t="s">
        <v>98</v>
      </c>
      <c r="G35" t="s">
        <v>101</v>
      </c>
      <c r="H35" t="s">
        <v>290</v>
      </c>
      <c r="I35" t="s">
        <v>373</v>
      </c>
      <c r="J35" s="2" t="s">
        <v>472</v>
      </c>
      <c r="K35" s="2" t="s">
        <v>429</v>
      </c>
      <c r="L35" s="2" t="s">
        <v>293</v>
      </c>
      <c r="M35" s="2" t="s">
        <v>294</v>
      </c>
      <c r="N35" s="4" t="s">
        <v>473</v>
      </c>
      <c r="O35" s="4" t="s">
        <v>296</v>
      </c>
      <c r="P35" s="5">
        <v>0</v>
      </c>
      <c r="Q35" s="5">
        <v>2</v>
      </c>
      <c r="R35" s="5">
        <v>4</v>
      </c>
      <c r="S35" s="5">
        <v>4</v>
      </c>
      <c r="T35" s="6">
        <v>4</v>
      </c>
      <c r="U35" s="6">
        <v>5</v>
      </c>
      <c r="V35">
        <f t="shared" si="5"/>
        <v>20</v>
      </c>
      <c r="W35" t="str">
        <f t="shared" si="6"/>
        <v>Critique</v>
      </c>
      <c r="X35" s="7" t="s">
        <v>297</v>
      </c>
      <c r="Y35" s="8" t="s">
        <v>298</v>
      </c>
      <c r="Z35" s="8" t="s">
        <v>202</v>
      </c>
      <c r="AA35" s="8" t="s">
        <v>321</v>
      </c>
      <c r="AB35" s="6">
        <v>3</v>
      </c>
      <c r="AC35" s="6">
        <v>4</v>
      </c>
      <c r="AD35">
        <f t="shared" si="7"/>
        <v>12</v>
      </c>
      <c r="AE35" s="14" t="str">
        <f t="shared" si="8"/>
        <v>Élevé</v>
      </c>
      <c r="AF35" t="s">
        <v>177</v>
      </c>
      <c r="AG35" s="14" t="str">
        <f t="shared" si="9"/>
        <v>Hors appétit</v>
      </c>
      <c r="AH35" t="s">
        <v>283</v>
      </c>
      <c r="AI35" s="2" t="s">
        <v>474</v>
      </c>
      <c r="AJ35" t="s">
        <v>101</v>
      </c>
      <c r="AK35" s="11">
        <v>46261</v>
      </c>
      <c r="AL35" t="s">
        <v>310</v>
      </c>
      <c r="AM35" s="11">
        <v>45998</v>
      </c>
      <c r="AN35" t="s">
        <v>202</v>
      </c>
      <c r="AO35" s="6">
        <v>2</v>
      </c>
      <c r="AP35" s="12">
        <v>499000</v>
      </c>
      <c r="AQ35" s="12">
        <v>6960</v>
      </c>
      <c r="AR35" s="2" t="s">
        <v>373</v>
      </c>
      <c r="AS35" s="2" t="s">
        <v>437</v>
      </c>
      <c r="AT35" s="2" t="s">
        <v>288</v>
      </c>
    </row>
    <row r="36" spans="1:46" ht="64" x14ac:dyDescent="0.2">
      <c r="A36" t="s">
        <v>475</v>
      </c>
      <c r="B36" t="s">
        <v>86</v>
      </c>
      <c r="C36" t="s">
        <v>89</v>
      </c>
      <c r="D36" t="s">
        <v>92</v>
      </c>
      <c r="E36" t="s">
        <v>95</v>
      </c>
      <c r="F36" t="s">
        <v>98</v>
      </c>
      <c r="G36" t="s">
        <v>101</v>
      </c>
      <c r="H36" t="s">
        <v>104</v>
      </c>
      <c r="I36" t="s">
        <v>107</v>
      </c>
      <c r="J36" s="2" t="s">
        <v>476</v>
      </c>
      <c r="K36" s="2" t="s">
        <v>429</v>
      </c>
      <c r="L36" s="2" t="s">
        <v>304</v>
      </c>
      <c r="M36" s="2" t="s">
        <v>305</v>
      </c>
      <c r="N36" s="4" t="s">
        <v>477</v>
      </c>
      <c r="O36" s="4" t="s">
        <v>296</v>
      </c>
      <c r="P36" s="5">
        <v>0</v>
      </c>
      <c r="Q36" s="5">
        <v>1</v>
      </c>
      <c r="R36" s="5">
        <v>3</v>
      </c>
      <c r="S36" s="5">
        <v>1</v>
      </c>
      <c r="T36" s="6">
        <v>4</v>
      </c>
      <c r="U36" s="6">
        <v>5</v>
      </c>
      <c r="V36">
        <f t="shared" si="5"/>
        <v>20</v>
      </c>
      <c r="W36" t="str">
        <f t="shared" si="6"/>
        <v>Critique</v>
      </c>
      <c r="X36" s="7" t="s">
        <v>307</v>
      </c>
      <c r="Y36" s="8" t="s">
        <v>157</v>
      </c>
      <c r="Z36" s="8" t="s">
        <v>160</v>
      </c>
      <c r="AA36" s="8" t="s">
        <v>177</v>
      </c>
      <c r="AB36" s="6">
        <v>4</v>
      </c>
      <c r="AC36" s="6">
        <v>5</v>
      </c>
      <c r="AD36">
        <f t="shared" si="7"/>
        <v>20</v>
      </c>
      <c r="AE36" s="13" t="str">
        <f t="shared" si="8"/>
        <v>Critique</v>
      </c>
      <c r="AF36" t="s">
        <v>177</v>
      </c>
      <c r="AG36" s="14" t="str">
        <f t="shared" si="9"/>
        <v>Hors appétit</v>
      </c>
      <c r="AH36" t="s">
        <v>308</v>
      </c>
      <c r="AI36" s="2" t="s">
        <v>478</v>
      </c>
      <c r="AJ36" t="s">
        <v>101</v>
      </c>
      <c r="AK36" s="11">
        <v>46272</v>
      </c>
      <c r="AL36" t="s">
        <v>285</v>
      </c>
      <c r="AM36" s="11">
        <v>45992</v>
      </c>
      <c r="AN36" t="s">
        <v>160</v>
      </c>
      <c r="AO36" s="6">
        <v>3</v>
      </c>
      <c r="AP36" s="12">
        <v>714000</v>
      </c>
      <c r="AQ36" s="12">
        <v>7360</v>
      </c>
      <c r="AR36" s="15" t="s">
        <v>107</v>
      </c>
      <c r="AS36" s="2" t="s">
        <v>442</v>
      </c>
      <c r="AT36" s="2" t="s">
        <v>288</v>
      </c>
    </row>
    <row r="37" spans="1:46" ht="64" x14ac:dyDescent="0.2">
      <c r="A37" t="s">
        <v>479</v>
      </c>
      <c r="B37" t="s">
        <v>86</v>
      </c>
      <c r="C37" t="s">
        <v>89</v>
      </c>
      <c r="D37" t="s">
        <v>92</v>
      </c>
      <c r="E37" t="s">
        <v>95</v>
      </c>
      <c r="F37" t="s">
        <v>98</v>
      </c>
      <c r="G37" t="s">
        <v>101</v>
      </c>
      <c r="H37" t="s">
        <v>313</v>
      </c>
      <c r="I37" t="s">
        <v>314</v>
      </c>
      <c r="J37" s="2" t="s">
        <v>480</v>
      </c>
      <c r="K37" s="2" t="s">
        <v>429</v>
      </c>
      <c r="L37" s="2" t="s">
        <v>316</v>
      </c>
      <c r="M37" s="2" t="s">
        <v>445</v>
      </c>
      <c r="N37" s="4" t="s">
        <v>481</v>
      </c>
      <c r="O37" s="4" t="s">
        <v>296</v>
      </c>
      <c r="P37" s="5">
        <v>0</v>
      </c>
      <c r="Q37" s="5">
        <v>3</v>
      </c>
      <c r="R37" s="5">
        <v>6</v>
      </c>
      <c r="S37" s="5">
        <v>3</v>
      </c>
      <c r="T37" s="6">
        <v>4</v>
      </c>
      <c r="U37" s="6">
        <v>5</v>
      </c>
      <c r="V37">
        <f t="shared" si="5"/>
        <v>20</v>
      </c>
      <c r="W37" t="str">
        <f t="shared" si="6"/>
        <v>Critique</v>
      </c>
      <c r="X37" s="7" t="s">
        <v>319</v>
      </c>
      <c r="Y37" s="8" t="s">
        <v>320</v>
      </c>
      <c r="Z37" s="8" t="s">
        <v>160</v>
      </c>
      <c r="AA37" s="8" t="s">
        <v>177</v>
      </c>
      <c r="AB37" s="6">
        <v>4</v>
      </c>
      <c r="AC37" s="6">
        <v>5</v>
      </c>
      <c r="AD37">
        <f t="shared" si="7"/>
        <v>20</v>
      </c>
      <c r="AE37" s="13" t="str">
        <f t="shared" si="8"/>
        <v>Critique</v>
      </c>
      <c r="AF37" t="s">
        <v>177</v>
      </c>
      <c r="AG37" s="14" t="str">
        <f t="shared" si="9"/>
        <v>Hors appétit</v>
      </c>
      <c r="AH37" t="s">
        <v>283</v>
      </c>
      <c r="AI37" s="2" t="s">
        <v>482</v>
      </c>
      <c r="AJ37" t="s">
        <v>101</v>
      </c>
      <c r="AK37" s="11">
        <v>46283</v>
      </c>
      <c r="AL37" t="s">
        <v>196</v>
      </c>
      <c r="AM37" s="11">
        <v>45986</v>
      </c>
      <c r="AN37" t="s">
        <v>160</v>
      </c>
      <c r="AO37" s="6">
        <v>3</v>
      </c>
      <c r="AP37" s="12">
        <v>729000</v>
      </c>
      <c r="AQ37" s="12">
        <v>7760</v>
      </c>
      <c r="AR37" s="2" t="s">
        <v>314</v>
      </c>
      <c r="AS37" s="2" t="s">
        <v>448</v>
      </c>
      <c r="AT37" s="2" t="s">
        <v>288</v>
      </c>
    </row>
    <row r="38" spans="1:46" ht="48" x14ac:dyDescent="0.2">
      <c r="A38" t="s">
        <v>483</v>
      </c>
      <c r="B38" t="s">
        <v>86</v>
      </c>
      <c r="C38" t="s">
        <v>484</v>
      </c>
      <c r="D38" t="s">
        <v>485</v>
      </c>
      <c r="E38" t="s">
        <v>486</v>
      </c>
      <c r="F38" t="s">
        <v>486</v>
      </c>
      <c r="G38" t="s">
        <v>487</v>
      </c>
      <c r="H38" t="s">
        <v>274</v>
      </c>
      <c r="I38" t="s">
        <v>275</v>
      </c>
      <c r="J38" s="2" t="s">
        <v>488</v>
      </c>
      <c r="K38" s="2" t="s">
        <v>489</v>
      </c>
      <c r="L38" s="2" t="s">
        <v>278</v>
      </c>
      <c r="M38" s="2" t="s">
        <v>279</v>
      </c>
      <c r="N38" s="4" t="s">
        <v>490</v>
      </c>
      <c r="O38" s="4" t="s">
        <v>281</v>
      </c>
      <c r="P38" s="5">
        <v>1</v>
      </c>
      <c r="Q38" s="5">
        <v>2.5</v>
      </c>
      <c r="R38" s="5">
        <v>4</v>
      </c>
      <c r="S38" s="5">
        <v>2.7</v>
      </c>
      <c r="T38" s="6">
        <v>4</v>
      </c>
      <c r="U38" s="6">
        <v>3</v>
      </c>
      <c r="V38">
        <f t="shared" si="5"/>
        <v>12</v>
      </c>
      <c r="W38" t="str">
        <f t="shared" si="6"/>
        <v>Élevé</v>
      </c>
      <c r="X38" s="7" t="s">
        <v>282</v>
      </c>
      <c r="Y38" s="8" t="s">
        <v>157</v>
      </c>
      <c r="Z38" s="8" t="s">
        <v>160</v>
      </c>
      <c r="AA38" s="8" t="s">
        <v>163</v>
      </c>
      <c r="AB38" s="6">
        <v>3</v>
      </c>
      <c r="AC38" s="6">
        <v>3</v>
      </c>
      <c r="AD38">
        <f t="shared" si="7"/>
        <v>9</v>
      </c>
      <c r="AE38" s="9" t="str">
        <f t="shared" si="8"/>
        <v>Modéré</v>
      </c>
      <c r="AF38" t="s">
        <v>174</v>
      </c>
      <c r="AG38" s="10" t="str">
        <f t="shared" si="9"/>
        <v>Dans lappétit</v>
      </c>
      <c r="AH38" t="s">
        <v>283</v>
      </c>
      <c r="AI38" s="2" t="s">
        <v>491</v>
      </c>
      <c r="AJ38" t="s">
        <v>487</v>
      </c>
      <c r="AK38" s="11">
        <v>46294</v>
      </c>
      <c r="AL38" t="s">
        <v>285</v>
      </c>
      <c r="AM38" s="11">
        <v>45980</v>
      </c>
      <c r="AN38" t="s">
        <v>286</v>
      </c>
      <c r="AO38" s="6">
        <v>4</v>
      </c>
      <c r="AP38" s="12">
        <v>309000</v>
      </c>
      <c r="AQ38" s="12">
        <v>4100</v>
      </c>
      <c r="AR38" s="2" t="s">
        <v>275</v>
      </c>
      <c r="AS38" s="2" t="s">
        <v>492</v>
      </c>
      <c r="AT38" s="2" t="s">
        <v>288</v>
      </c>
    </row>
    <row r="39" spans="1:46" ht="64" x14ac:dyDescent="0.2">
      <c r="A39" t="s">
        <v>493</v>
      </c>
      <c r="B39" t="s">
        <v>86</v>
      </c>
      <c r="C39" t="s">
        <v>484</v>
      </c>
      <c r="D39" t="s">
        <v>485</v>
      </c>
      <c r="E39" t="s">
        <v>486</v>
      </c>
      <c r="F39" t="s">
        <v>486</v>
      </c>
      <c r="G39" t="s">
        <v>487</v>
      </c>
      <c r="H39" t="s">
        <v>290</v>
      </c>
      <c r="I39" t="s">
        <v>373</v>
      </c>
      <c r="J39" s="2" t="s">
        <v>494</v>
      </c>
      <c r="K39" s="2" t="s">
        <v>489</v>
      </c>
      <c r="L39" s="2" t="s">
        <v>293</v>
      </c>
      <c r="M39" s="2" t="s">
        <v>294</v>
      </c>
      <c r="N39" s="4" t="s">
        <v>495</v>
      </c>
      <c r="O39" s="4" t="s">
        <v>296</v>
      </c>
      <c r="P39" s="5">
        <v>0</v>
      </c>
      <c r="Q39" s="5">
        <v>2</v>
      </c>
      <c r="R39" s="5">
        <v>4</v>
      </c>
      <c r="S39" s="5">
        <v>4</v>
      </c>
      <c r="T39" s="6">
        <v>3</v>
      </c>
      <c r="U39" s="6">
        <v>4</v>
      </c>
      <c r="V39">
        <f t="shared" si="5"/>
        <v>12</v>
      </c>
      <c r="W39" t="str">
        <f t="shared" si="6"/>
        <v>Élevé</v>
      </c>
      <c r="X39" s="7" t="s">
        <v>297</v>
      </c>
      <c r="Y39" s="8" t="s">
        <v>298</v>
      </c>
      <c r="Z39" s="8" t="s">
        <v>202</v>
      </c>
      <c r="AA39" s="8" t="s">
        <v>177</v>
      </c>
      <c r="AB39" s="6">
        <v>3</v>
      </c>
      <c r="AC39" s="6">
        <v>4</v>
      </c>
      <c r="AD39">
        <f t="shared" si="7"/>
        <v>12</v>
      </c>
      <c r="AE39" s="14" t="str">
        <f t="shared" si="8"/>
        <v>Élevé</v>
      </c>
      <c r="AF39" t="s">
        <v>177</v>
      </c>
      <c r="AG39" s="14" t="str">
        <f t="shared" si="9"/>
        <v>Hors appétit</v>
      </c>
      <c r="AH39" t="s">
        <v>283</v>
      </c>
      <c r="AI39" s="2" t="s">
        <v>496</v>
      </c>
      <c r="AJ39" t="s">
        <v>487</v>
      </c>
      <c r="AK39" s="11">
        <v>46305</v>
      </c>
      <c r="AL39" t="s">
        <v>196</v>
      </c>
      <c r="AM39" s="11">
        <v>45974</v>
      </c>
      <c r="AN39" t="s">
        <v>202</v>
      </c>
      <c r="AO39" s="6">
        <v>2</v>
      </c>
      <c r="AP39" s="12">
        <v>320000</v>
      </c>
      <c r="AQ39" s="12">
        <v>4350</v>
      </c>
      <c r="AR39" s="2" t="s">
        <v>373</v>
      </c>
      <c r="AS39" s="2" t="s">
        <v>497</v>
      </c>
      <c r="AT39" s="2" t="s">
        <v>288</v>
      </c>
    </row>
    <row r="40" spans="1:46" ht="64" x14ac:dyDescent="0.2">
      <c r="A40" t="s">
        <v>498</v>
      </c>
      <c r="B40" t="s">
        <v>86</v>
      </c>
      <c r="C40" t="s">
        <v>484</v>
      </c>
      <c r="D40" t="s">
        <v>485</v>
      </c>
      <c r="E40" t="s">
        <v>486</v>
      </c>
      <c r="F40" t="s">
        <v>486</v>
      </c>
      <c r="G40" t="s">
        <v>487</v>
      </c>
      <c r="H40" t="s">
        <v>104</v>
      </c>
      <c r="I40" t="s">
        <v>107</v>
      </c>
      <c r="J40" s="2" t="s">
        <v>499</v>
      </c>
      <c r="K40" s="2" t="s">
        <v>489</v>
      </c>
      <c r="L40" s="2" t="s">
        <v>304</v>
      </c>
      <c r="M40" s="2" t="s">
        <v>305</v>
      </c>
      <c r="N40" s="4" t="s">
        <v>500</v>
      </c>
      <c r="O40" s="4" t="s">
        <v>296</v>
      </c>
      <c r="P40" s="5">
        <v>0</v>
      </c>
      <c r="Q40" s="5">
        <v>1</v>
      </c>
      <c r="R40" s="5">
        <v>3</v>
      </c>
      <c r="S40" s="5">
        <v>3</v>
      </c>
      <c r="T40" s="6">
        <v>4</v>
      </c>
      <c r="U40" s="6">
        <v>4</v>
      </c>
      <c r="V40">
        <f t="shared" si="5"/>
        <v>16</v>
      </c>
      <c r="W40" t="str">
        <f t="shared" si="6"/>
        <v>Critique</v>
      </c>
      <c r="X40" s="7" t="s">
        <v>307</v>
      </c>
      <c r="Y40" s="8" t="s">
        <v>157</v>
      </c>
      <c r="Z40" s="8" t="s">
        <v>160</v>
      </c>
      <c r="AA40" s="8" t="s">
        <v>163</v>
      </c>
      <c r="AB40" s="6">
        <v>3</v>
      </c>
      <c r="AC40" s="6">
        <v>4</v>
      </c>
      <c r="AD40">
        <f t="shared" si="7"/>
        <v>12</v>
      </c>
      <c r="AE40" s="14" t="str">
        <f t="shared" si="8"/>
        <v>Élevé</v>
      </c>
      <c r="AF40" t="s">
        <v>177</v>
      </c>
      <c r="AG40" s="14" t="str">
        <f t="shared" si="9"/>
        <v>Hors appétit</v>
      </c>
      <c r="AH40" t="s">
        <v>308</v>
      </c>
      <c r="AI40" s="2" t="s">
        <v>501</v>
      </c>
      <c r="AJ40" t="s">
        <v>487</v>
      </c>
      <c r="AK40" s="11">
        <v>46316</v>
      </c>
      <c r="AL40" t="s">
        <v>310</v>
      </c>
      <c r="AM40" s="11">
        <v>45968</v>
      </c>
      <c r="AN40" t="s">
        <v>202</v>
      </c>
      <c r="AO40" s="6">
        <v>3</v>
      </c>
      <c r="AP40" s="12">
        <v>587000</v>
      </c>
      <c r="AQ40" s="12">
        <v>4600</v>
      </c>
      <c r="AR40" s="15" t="s">
        <v>107</v>
      </c>
      <c r="AS40" s="2" t="s">
        <v>502</v>
      </c>
      <c r="AT40" s="2" t="s">
        <v>288</v>
      </c>
    </row>
    <row r="41" spans="1:46" ht="64" x14ac:dyDescent="0.2">
      <c r="A41" t="s">
        <v>503</v>
      </c>
      <c r="B41" t="s">
        <v>86</v>
      </c>
      <c r="C41" t="s">
        <v>484</v>
      </c>
      <c r="D41" t="s">
        <v>485</v>
      </c>
      <c r="E41" t="s">
        <v>486</v>
      </c>
      <c r="F41" t="s">
        <v>486</v>
      </c>
      <c r="G41" t="s">
        <v>487</v>
      </c>
      <c r="H41" t="s">
        <v>313</v>
      </c>
      <c r="I41" t="s">
        <v>314</v>
      </c>
      <c r="J41" s="2" t="s">
        <v>504</v>
      </c>
      <c r="K41" s="2" t="s">
        <v>489</v>
      </c>
      <c r="L41" s="2" t="s">
        <v>316</v>
      </c>
      <c r="M41" s="2" t="s">
        <v>505</v>
      </c>
      <c r="N41" s="4" t="s">
        <v>506</v>
      </c>
      <c r="O41" s="4" t="s">
        <v>296</v>
      </c>
      <c r="P41" s="5">
        <v>0</v>
      </c>
      <c r="Q41" s="5">
        <v>3</v>
      </c>
      <c r="R41" s="5">
        <v>6</v>
      </c>
      <c r="S41" s="5">
        <v>3</v>
      </c>
      <c r="T41" s="6">
        <v>3</v>
      </c>
      <c r="U41" s="6">
        <v>4</v>
      </c>
      <c r="V41">
        <f t="shared" si="5"/>
        <v>12</v>
      </c>
      <c r="W41" t="str">
        <f t="shared" si="6"/>
        <v>Élevé</v>
      </c>
      <c r="X41" s="7" t="s">
        <v>319</v>
      </c>
      <c r="Y41" s="8" t="s">
        <v>320</v>
      </c>
      <c r="Z41" s="8" t="s">
        <v>160</v>
      </c>
      <c r="AA41" s="8" t="s">
        <v>321</v>
      </c>
      <c r="AB41" s="6">
        <v>2</v>
      </c>
      <c r="AC41" s="6">
        <v>3</v>
      </c>
      <c r="AD41">
        <f t="shared" si="7"/>
        <v>6</v>
      </c>
      <c r="AE41" s="9" t="str">
        <f t="shared" si="8"/>
        <v>Modéré</v>
      </c>
      <c r="AF41" t="s">
        <v>177</v>
      </c>
      <c r="AG41" s="10" t="str">
        <f t="shared" si="9"/>
        <v>Dans lappétit</v>
      </c>
      <c r="AH41" t="s">
        <v>322</v>
      </c>
      <c r="AI41" s="2" t="s">
        <v>507</v>
      </c>
      <c r="AJ41" t="s">
        <v>487</v>
      </c>
      <c r="AK41" s="11">
        <v>46327</v>
      </c>
      <c r="AL41" t="s">
        <v>310</v>
      </c>
      <c r="AM41" s="11">
        <v>46082</v>
      </c>
      <c r="AN41" t="s">
        <v>286</v>
      </c>
      <c r="AO41" s="6">
        <v>1</v>
      </c>
      <c r="AP41" s="12">
        <v>479000</v>
      </c>
      <c r="AQ41" s="12">
        <v>4850</v>
      </c>
      <c r="AR41" s="2" t="s">
        <v>314</v>
      </c>
      <c r="AS41" s="2" t="s">
        <v>508</v>
      </c>
      <c r="AT41" s="2" t="s">
        <v>288</v>
      </c>
    </row>
    <row r="42" spans="1:46" ht="48" x14ac:dyDescent="0.2">
      <c r="A42" t="s">
        <v>509</v>
      </c>
      <c r="B42" t="s">
        <v>86</v>
      </c>
      <c r="C42" t="s">
        <v>484</v>
      </c>
      <c r="D42" t="s">
        <v>510</v>
      </c>
      <c r="E42" t="s">
        <v>486</v>
      </c>
      <c r="F42" t="s">
        <v>486</v>
      </c>
      <c r="G42" t="s">
        <v>511</v>
      </c>
      <c r="H42" t="s">
        <v>274</v>
      </c>
      <c r="I42" t="s">
        <v>275</v>
      </c>
      <c r="J42" s="2" t="s">
        <v>512</v>
      </c>
      <c r="K42" s="2" t="s">
        <v>489</v>
      </c>
      <c r="L42" s="2" t="s">
        <v>278</v>
      </c>
      <c r="M42" s="2" t="s">
        <v>279</v>
      </c>
      <c r="N42" s="4" t="s">
        <v>513</v>
      </c>
      <c r="O42" s="4" t="s">
        <v>281</v>
      </c>
      <c r="P42" s="5">
        <v>1</v>
      </c>
      <c r="Q42" s="5">
        <v>2.5</v>
      </c>
      <c r="R42" s="5">
        <v>4</v>
      </c>
      <c r="S42" s="5">
        <v>2.5</v>
      </c>
      <c r="T42" s="6">
        <v>4</v>
      </c>
      <c r="U42" s="6">
        <v>3</v>
      </c>
      <c r="V42">
        <f t="shared" si="5"/>
        <v>12</v>
      </c>
      <c r="W42" t="str">
        <f t="shared" si="6"/>
        <v>Élevé</v>
      </c>
      <c r="X42" s="7" t="s">
        <v>282</v>
      </c>
      <c r="Y42" s="8" t="s">
        <v>157</v>
      </c>
      <c r="Z42" s="8" t="s">
        <v>160</v>
      </c>
      <c r="AA42" s="8" t="s">
        <v>177</v>
      </c>
      <c r="AB42" s="6">
        <v>4</v>
      </c>
      <c r="AC42" s="6">
        <v>3</v>
      </c>
      <c r="AD42">
        <f t="shared" si="7"/>
        <v>12</v>
      </c>
      <c r="AE42" s="14" t="str">
        <f t="shared" si="8"/>
        <v>Élevé</v>
      </c>
      <c r="AF42" t="s">
        <v>174</v>
      </c>
      <c r="AG42" s="14" t="str">
        <f t="shared" si="9"/>
        <v>Hors appétit</v>
      </c>
      <c r="AH42" t="s">
        <v>283</v>
      </c>
      <c r="AI42" s="2" t="s">
        <v>514</v>
      </c>
      <c r="AJ42" t="s">
        <v>511</v>
      </c>
      <c r="AK42" s="11">
        <v>46338</v>
      </c>
      <c r="AL42" t="s">
        <v>285</v>
      </c>
      <c r="AM42" s="11">
        <v>46076</v>
      </c>
      <c r="AN42" t="s">
        <v>202</v>
      </c>
      <c r="AO42" s="6">
        <v>4</v>
      </c>
      <c r="AP42" s="12">
        <v>318000</v>
      </c>
      <c r="AQ42" s="12">
        <v>4450</v>
      </c>
      <c r="AR42" s="2" t="s">
        <v>275</v>
      </c>
      <c r="AS42" s="2" t="s">
        <v>492</v>
      </c>
      <c r="AT42" s="2" t="s">
        <v>288</v>
      </c>
    </row>
    <row r="43" spans="1:46" ht="64" x14ac:dyDescent="0.2">
      <c r="A43" t="s">
        <v>515</v>
      </c>
      <c r="B43" t="s">
        <v>86</v>
      </c>
      <c r="C43" t="s">
        <v>484</v>
      </c>
      <c r="D43" t="s">
        <v>510</v>
      </c>
      <c r="E43" t="s">
        <v>486</v>
      </c>
      <c r="F43" t="s">
        <v>486</v>
      </c>
      <c r="G43" t="s">
        <v>511</v>
      </c>
      <c r="H43" t="s">
        <v>290</v>
      </c>
      <c r="I43" t="s">
        <v>373</v>
      </c>
      <c r="J43" s="2" t="s">
        <v>516</v>
      </c>
      <c r="K43" s="2" t="s">
        <v>489</v>
      </c>
      <c r="L43" s="2" t="s">
        <v>293</v>
      </c>
      <c r="M43" s="2" t="s">
        <v>294</v>
      </c>
      <c r="N43" s="4" t="s">
        <v>517</v>
      </c>
      <c r="O43" s="4" t="s">
        <v>296</v>
      </c>
      <c r="P43" s="5">
        <v>0</v>
      </c>
      <c r="Q43" s="5">
        <v>2</v>
      </c>
      <c r="R43" s="5">
        <v>4</v>
      </c>
      <c r="S43" s="5">
        <v>3</v>
      </c>
      <c r="T43" s="6">
        <v>3</v>
      </c>
      <c r="U43" s="6">
        <v>4</v>
      </c>
      <c r="V43">
        <f t="shared" si="5"/>
        <v>12</v>
      </c>
      <c r="W43" t="str">
        <f t="shared" si="6"/>
        <v>Élevé</v>
      </c>
      <c r="X43" s="7" t="s">
        <v>297</v>
      </c>
      <c r="Y43" s="8" t="s">
        <v>298</v>
      </c>
      <c r="Z43" s="8" t="s">
        <v>202</v>
      </c>
      <c r="AA43" s="8" t="s">
        <v>163</v>
      </c>
      <c r="AB43" s="6">
        <v>2</v>
      </c>
      <c r="AC43" s="6">
        <v>4</v>
      </c>
      <c r="AD43">
        <f t="shared" si="7"/>
        <v>8</v>
      </c>
      <c r="AE43" s="9" t="str">
        <f t="shared" si="8"/>
        <v>Modéré</v>
      </c>
      <c r="AF43" t="s">
        <v>177</v>
      </c>
      <c r="AG43" s="14" t="str">
        <f t="shared" si="9"/>
        <v>Hors appétit</v>
      </c>
      <c r="AH43" t="s">
        <v>283</v>
      </c>
      <c r="AI43" s="2" t="s">
        <v>518</v>
      </c>
      <c r="AJ43" t="s">
        <v>511</v>
      </c>
      <c r="AK43" s="11">
        <v>46349</v>
      </c>
      <c r="AL43" t="s">
        <v>196</v>
      </c>
      <c r="AM43" s="11">
        <v>46070</v>
      </c>
      <c r="AN43" t="s">
        <v>286</v>
      </c>
      <c r="AO43" s="6">
        <v>2</v>
      </c>
      <c r="AP43" s="12">
        <v>329000</v>
      </c>
      <c r="AQ43" s="12">
        <v>4700</v>
      </c>
      <c r="AR43" s="2" t="s">
        <v>373</v>
      </c>
      <c r="AS43" s="2" t="s">
        <v>497</v>
      </c>
      <c r="AT43" s="2" t="s">
        <v>288</v>
      </c>
    </row>
    <row r="44" spans="1:46" ht="64" x14ac:dyDescent="0.2">
      <c r="A44" t="s">
        <v>519</v>
      </c>
      <c r="B44" t="s">
        <v>86</v>
      </c>
      <c r="C44" t="s">
        <v>484</v>
      </c>
      <c r="D44" t="s">
        <v>510</v>
      </c>
      <c r="E44" t="s">
        <v>486</v>
      </c>
      <c r="F44" t="s">
        <v>486</v>
      </c>
      <c r="G44" t="s">
        <v>511</v>
      </c>
      <c r="H44" t="s">
        <v>104</v>
      </c>
      <c r="I44" t="s">
        <v>107</v>
      </c>
      <c r="J44" s="2" t="s">
        <v>520</v>
      </c>
      <c r="K44" s="2" t="s">
        <v>489</v>
      </c>
      <c r="L44" s="2" t="s">
        <v>304</v>
      </c>
      <c r="M44" s="2" t="s">
        <v>305</v>
      </c>
      <c r="N44" s="4" t="s">
        <v>521</v>
      </c>
      <c r="O44" s="4" t="s">
        <v>296</v>
      </c>
      <c r="P44" s="5">
        <v>0</v>
      </c>
      <c r="Q44" s="5">
        <v>1</v>
      </c>
      <c r="R44" s="5">
        <v>3</v>
      </c>
      <c r="S44" s="5">
        <v>3</v>
      </c>
      <c r="T44" s="6">
        <v>4</v>
      </c>
      <c r="U44" s="6">
        <v>4</v>
      </c>
      <c r="V44">
        <f t="shared" si="5"/>
        <v>16</v>
      </c>
      <c r="W44" t="str">
        <f t="shared" si="6"/>
        <v>Critique</v>
      </c>
      <c r="X44" s="7" t="s">
        <v>307</v>
      </c>
      <c r="Y44" s="8" t="s">
        <v>157</v>
      </c>
      <c r="Z44" s="8" t="s">
        <v>160</v>
      </c>
      <c r="AA44" s="8" t="s">
        <v>163</v>
      </c>
      <c r="AB44" s="6">
        <v>3</v>
      </c>
      <c r="AC44" s="6">
        <v>4</v>
      </c>
      <c r="AD44">
        <f t="shared" si="7"/>
        <v>12</v>
      </c>
      <c r="AE44" s="14" t="str">
        <f t="shared" si="8"/>
        <v>Élevé</v>
      </c>
      <c r="AF44" t="s">
        <v>177</v>
      </c>
      <c r="AG44" s="14" t="str">
        <f t="shared" si="9"/>
        <v>Hors appétit</v>
      </c>
      <c r="AH44" t="s">
        <v>308</v>
      </c>
      <c r="AI44" s="2" t="s">
        <v>522</v>
      </c>
      <c r="AJ44" t="s">
        <v>511</v>
      </c>
      <c r="AK44" s="11">
        <v>46360</v>
      </c>
      <c r="AL44" t="s">
        <v>310</v>
      </c>
      <c r="AM44" s="11">
        <v>46064</v>
      </c>
      <c r="AN44" t="s">
        <v>202</v>
      </c>
      <c r="AO44" s="6">
        <v>3</v>
      </c>
      <c r="AP44" s="12">
        <v>599000</v>
      </c>
      <c r="AQ44" s="12">
        <v>4950</v>
      </c>
      <c r="AR44" s="15" t="s">
        <v>107</v>
      </c>
      <c r="AS44" s="2" t="s">
        <v>502</v>
      </c>
      <c r="AT44" s="2" t="s">
        <v>288</v>
      </c>
    </row>
    <row r="45" spans="1:46" ht="64" x14ac:dyDescent="0.2">
      <c r="A45" t="s">
        <v>523</v>
      </c>
      <c r="B45" t="s">
        <v>86</v>
      </c>
      <c r="C45" t="s">
        <v>484</v>
      </c>
      <c r="D45" t="s">
        <v>510</v>
      </c>
      <c r="E45" t="s">
        <v>486</v>
      </c>
      <c r="F45" t="s">
        <v>486</v>
      </c>
      <c r="G45" t="s">
        <v>511</v>
      </c>
      <c r="H45" t="s">
        <v>313</v>
      </c>
      <c r="I45" t="s">
        <v>314</v>
      </c>
      <c r="J45" s="2" t="s">
        <v>524</v>
      </c>
      <c r="K45" s="2" t="s">
        <v>489</v>
      </c>
      <c r="L45" s="2" t="s">
        <v>316</v>
      </c>
      <c r="M45" s="2" t="s">
        <v>505</v>
      </c>
      <c r="N45" s="4" t="s">
        <v>525</v>
      </c>
      <c r="O45" s="4" t="s">
        <v>296</v>
      </c>
      <c r="P45" s="5">
        <v>0</v>
      </c>
      <c r="Q45" s="5">
        <v>3</v>
      </c>
      <c r="R45" s="5">
        <v>6</v>
      </c>
      <c r="S45" s="5">
        <v>5</v>
      </c>
      <c r="T45" s="6">
        <v>3</v>
      </c>
      <c r="U45" s="6">
        <v>4</v>
      </c>
      <c r="V45">
        <f t="shared" si="5"/>
        <v>12</v>
      </c>
      <c r="W45" t="str">
        <f t="shared" si="6"/>
        <v>Élevé</v>
      </c>
      <c r="X45" s="7" t="s">
        <v>319</v>
      </c>
      <c r="Y45" s="8" t="s">
        <v>320</v>
      </c>
      <c r="Z45" s="8" t="s">
        <v>160</v>
      </c>
      <c r="AA45" s="8" t="s">
        <v>163</v>
      </c>
      <c r="AB45" s="6">
        <v>2</v>
      </c>
      <c r="AC45" s="6">
        <v>4</v>
      </c>
      <c r="AD45">
        <f t="shared" si="7"/>
        <v>8</v>
      </c>
      <c r="AE45" s="9" t="str">
        <f t="shared" si="8"/>
        <v>Modéré</v>
      </c>
      <c r="AF45" t="s">
        <v>177</v>
      </c>
      <c r="AG45" s="14" t="str">
        <f t="shared" si="9"/>
        <v>Hors appétit</v>
      </c>
      <c r="AH45" t="s">
        <v>283</v>
      </c>
      <c r="AI45" s="2" t="s">
        <v>526</v>
      </c>
      <c r="AJ45" t="s">
        <v>511</v>
      </c>
      <c r="AK45" s="11">
        <v>46131</v>
      </c>
      <c r="AL45" t="s">
        <v>310</v>
      </c>
      <c r="AM45" s="11">
        <v>46058</v>
      </c>
      <c r="AN45" t="s">
        <v>286</v>
      </c>
      <c r="AO45" s="6">
        <v>2</v>
      </c>
      <c r="AP45" s="12">
        <v>491000</v>
      </c>
      <c r="AQ45" s="12">
        <v>5200</v>
      </c>
      <c r="AR45" s="2" t="s">
        <v>314</v>
      </c>
      <c r="AS45" s="2" t="s">
        <v>508</v>
      </c>
      <c r="AT45" s="2" t="s">
        <v>288</v>
      </c>
    </row>
    <row r="46" spans="1:46" ht="64" x14ac:dyDescent="0.2">
      <c r="A46" t="s">
        <v>527</v>
      </c>
      <c r="B46" t="s">
        <v>528</v>
      </c>
      <c r="C46" t="s">
        <v>529</v>
      </c>
      <c r="D46" t="s">
        <v>530</v>
      </c>
      <c r="E46" t="s">
        <v>531</v>
      </c>
      <c r="F46" t="s">
        <v>532</v>
      </c>
      <c r="G46" t="s">
        <v>533</v>
      </c>
      <c r="H46" t="s">
        <v>274</v>
      </c>
      <c r="I46" t="s">
        <v>275</v>
      </c>
      <c r="J46" s="2" t="s">
        <v>534</v>
      </c>
      <c r="K46" s="2" t="s">
        <v>535</v>
      </c>
      <c r="L46" s="2" t="s">
        <v>278</v>
      </c>
      <c r="M46" s="2" t="s">
        <v>279</v>
      </c>
      <c r="N46" s="4" t="s">
        <v>536</v>
      </c>
      <c r="O46" s="4" t="s">
        <v>281</v>
      </c>
      <c r="P46" s="5">
        <v>1</v>
      </c>
      <c r="Q46" s="5">
        <v>2.5</v>
      </c>
      <c r="R46" s="5">
        <v>4</v>
      </c>
      <c r="S46" s="5">
        <v>2.2000000000000002</v>
      </c>
      <c r="T46" s="6">
        <v>4</v>
      </c>
      <c r="U46" s="6">
        <v>4</v>
      </c>
      <c r="V46">
        <f t="shared" si="5"/>
        <v>16</v>
      </c>
      <c r="W46" t="str">
        <f t="shared" si="6"/>
        <v>Critique</v>
      </c>
      <c r="X46" s="7" t="s">
        <v>282</v>
      </c>
      <c r="Y46" s="8" t="s">
        <v>157</v>
      </c>
      <c r="Z46" s="8" t="s">
        <v>160</v>
      </c>
      <c r="AA46" s="8" t="s">
        <v>163</v>
      </c>
      <c r="AB46" s="6">
        <v>3</v>
      </c>
      <c r="AC46" s="6">
        <v>4</v>
      </c>
      <c r="AD46">
        <f t="shared" si="7"/>
        <v>12</v>
      </c>
      <c r="AE46" s="14" t="str">
        <f t="shared" si="8"/>
        <v>Élevé</v>
      </c>
      <c r="AF46" t="s">
        <v>174</v>
      </c>
      <c r="AG46" s="14" t="str">
        <f t="shared" si="9"/>
        <v>Hors appétit</v>
      </c>
      <c r="AH46" t="s">
        <v>283</v>
      </c>
      <c r="AI46" s="2" t="s">
        <v>537</v>
      </c>
      <c r="AJ46" t="s">
        <v>533</v>
      </c>
      <c r="AK46" s="11">
        <v>46142</v>
      </c>
      <c r="AL46" t="s">
        <v>196</v>
      </c>
      <c r="AM46" s="11">
        <v>46052</v>
      </c>
      <c r="AN46" t="s">
        <v>202</v>
      </c>
      <c r="AO46" s="6">
        <v>4</v>
      </c>
      <c r="AP46" s="12">
        <v>412000</v>
      </c>
      <c r="AQ46" s="12">
        <v>7680</v>
      </c>
      <c r="AR46" s="2" t="s">
        <v>275</v>
      </c>
      <c r="AS46" s="2" t="s">
        <v>538</v>
      </c>
      <c r="AT46" s="2" t="s">
        <v>288</v>
      </c>
    </row>
    <row r="47" spans="1:46" ht="64" x14ac:dyDescent="0.2">
      <c r="A47" t="s">
        <v>539</v>
      </c>
      <c r="B47" t="s">
        <v>528</v>
      </c>
      <c r="C47" t="s">
        <v>529</v>
      </c>
      <c r="D47" t="s">
        <v>530</v>
      </c>
      <c r="E47" t="s">
        <v>531</v>
      </c>
      <c r="F47" t="s">
        <v>532</v>
      </c>
      <c r="G47" t="s">
        <v>533</v>
      </c>
      <c r="H47" t="s">
        <v>290</v>
      </c>
      <c r="I47" t="s">
        <v>215</v>
      </c>
      <c r="J47" s="2" t="s">
        <v>540</v>
      </c>
      <c r="K47" s="2" t="s">
        <v>535</v>
      </c>
      <c r="L47" s="2" t="s">
        <v>293</v>
      </c>
      <c r="M47" s="2" t="s">
        <v>294</v>
      </c>
      <c r="N47" s="4" t="s">
        <v>541</v>
      </c>
      <c r="O47" s="4" t="s">
        <v>296</v>
      </c>
      <c r="P47" s="5">
        <v>0</v>
      </c>
      <c r="Q47" s="5">
        <v>2</v>
      </c>
      <c r="R47" s="5">
        <v>4</v>
      </c>
      <c r="S47" s="5">
        <v>2</v>
      </c>
      <c r="T47" s="6">
        <v>3</v>
      </c>
      <c r="U47" s="6">
        <v>4</v>
      </c>
      <c r="V47">
        <f t="shared" si="5"/>
        <v>12</v>
      </c>
      <c r="W47" t="str">
        <f t="shared" si="6"/>
        <v>Élevé</v>
      </c>
      <c r="X47" s="7" t="s">
        <v>297</v>
      </c>
      <c r="Y47" s="8" t="s">
        <v>298</v>
      </c>
      <c r="Z47" s="8" t="s">
        <v>202</v>
      </c>
      <c r="AA47" s="8" t="s">
        <v>177</v>
      </c>
      <c r="AB47" s="6">
        <v>3</v>
      </c>
      <c r="AC47" s="6">
        <v>4</v>
      </c>
      <c r="AD47">
        <f t="shared" si="7"/>
        <v>12</v>
      </c>
      <c r="AE47" s="14" t="str">
        <f t="shared" si="8"/>
        <v>Élevé</v>
      </c>
      <c r="AF47" t="s">
        <v>177</v>
      </c>
      <c r="AG47" s="14" t="str">
        <f t="shared" si="9"/>
        <v>Hors appétit</v>
      </c>
      <c r="AH47" t="s">
        <v>283</v>
      </c>
      <c r="AI47" s="2" t="s">
        <v>542</v>
      </c>
      <c r="AJ47" t="s">
        <v>533</v>
      </c>
      <c r="AK47" s="11">
        <v>46153</v>
      </c>
      <c r="AL47" t="s">
        <v>196</v>
      </c>
      <c r="AM47" s="11">
        <v>46046</v>
      </c>
      <c r="AN47" t="s">
        <v>202</v>
      </c>
      <c r="AO47" s="6">
        <v>2</v>
      </c>
      <c r="AP47" s="12">
        <v>335000</v>
      </c>
      <c r="AQ47" s="12">
        <v>8080</v>
      </c>
      <c r="AR47" s="2" t="s">
        <v>215</v>
      </c>
      <c r="AS47" s="2" t="s">
        <v>543</v>
      </c>
      <c r="AT47" s="2" t="s">
        <v>288</v>
      </c>
    </row>
    <row r="48" spans="1:46" ht="64" x14ac:dyDescent="0.2">
      <c r="A48" t="s">
        <v>544</v>
      </c>
      <c r="B48" t="s">
        <v>528</v>
      </c>
      <c r="C48" t="s">
        <v>529</v>
      </c>
      <c r="D48" t="s">
        <v>530</v>
      </c>
      <c r="E48" t="s">
        <v>531</v>
      </c>
      <c r="F48" t="s">
        <v>532</v>
      </c>
      <c r="G48" t="s">
        <v>533</v>
      </c>
      <c r="H48" t="s">
        <v>104</v>
      </c>
      <c r="I48" t="s">
        <v>107</v>
      </c>
      <c r="J48" s="2" t="s">
        <v>545</v>
      </c>
      <c r="K48" s="2" t="s">
        <v>535</v>
      </c>
      <c r="L48" s="2" t="s">
        <v>304</v>
      </c>
      <c r="M48" s="2" t="s">
        <v>546</v>
      </c>
      <c r="N48" s="4" t="s">
        <v>547</v>
      </c>
      <c r="O48" s="4" t="s">
        <v>296</v>
      </c>
      <c r="P48" s="5">
        <v>0</v>
      </c>
      <c r="Q48" s="5">
        <v>1</v>
      </c>
      <c r="R48" s="5">
        <v>3</v>
      </c>
      <c r="S48" s="5">
        <v>2</v>
      </c>
      <c r="T48" s="6">
        <v>4</v>
      </c>
      <c r="U48" s="6">
        <v>5</v>
      </c>
      <c r="V48">
        <f t="shared" si="5"/>
        <v>20</v>
      </c>
      <c r="W48" t="str">
        <f t="shared" si="6"/>
        <v>Critique</v>
      </c>
      <c r="X48" s="7" t="s">
        <v>307</v>
      </c>
      <c r="Y48" s="8" t="s">
        <v>157</v>
      </c>
      <c r="Z48" s="8" t="s">
        <v>160</v>
      </c>
      <c r="AA48" s="8" t="s">
        <v>163</v>
      </c>
      <c r="AB48" s="6">
        <v>3</v>
      </c>
      <c r="AC48" s="6">
        <v>5</v>
      </c>
      <c r="AD48">
        <f t="shared" si="7"/>
        <v>15</v>
      </c>
      <c r="AE48" s="13" t="str">
        <f t="shared" si="8"/>
        <v>Critique</v>
      </c>
      <c r="AF48" t="s">
        <v>177</v>
      </c>
      <c r="AG48" s="14" t="str">
        <f t="shared" si="9"/>
        <v>Hors appétit</v>
      </c>
      <c r="AH48" t="s">
        <v>308</v>
      </c>
      <c r="AI48" s="2" t="s">
        <v>548</v>
      </c>
      <c r="AJ48" t="s">
        <v>533</v>
      </c>
      <c r="AK48" s="11">
        <v>46164</v>
      </c>
      <c r="AL48" t="s">
        <v>285</v>
      </c>
      <c r="AM48" s="11">
        <v>46040</v>
      </c>
      <c r="AN48" t="s">
        <v>160</v>
      </c>
      <c r="AO48" s="6">
        <v>3</v>
      </c>
      <c r="AP48" s="12">
        <v>731000</v>
      </c>
      <c r="AQ48" s="12">
        <v>8480</v>
      </c>
      <c r="AR48" s="15" t="s">
        <v>107</v>
      </c>
      <c r="AS48" s="2" t="s">
        <v>549</v>
      </c>
      <c r="AT48" s="2" t="s">
        <v>288</v>
      </c>
    </row>
    <row r="49" spans="1:46" ht="64" x14ac:dyDescent="0.2">
      <c r="A49" t="s">
        <v>550</v>
      </c>
      <c r="B49" t="s">
        <v>528</v>
      </c>
      <c r="C49" t="s">
        <v>529</v>
      </c>
      <c r="D49" t="s">
        <v>530</v>
      </c>
      <c r="E49" t="s">
        <v>531</v>
      </c>
      <c r="F49" t="s">
        <v>532</v>
      </c>
      <c r="G49" t="s">
        <v>533</v>
      </c>
      <c r="H49" t="s">
        <v>313</v>
      </c>
      <c r="I49" t="s">
        <v>314</v>
      </c>
      <c r="J49" s="2" t="s">
        <v>551</v>
      </c>
      <c r="K49" s="2" t="s">
        <v>535</v>
      </c>
      <c r="L49" s="2" t="s">
        <v>316</v>
      </c>
      <c r="M49" s="2" t="s">
        <v>505</v>
      </c>
      <c r="N49" s="4" t="s">
        <v>552</v>
      </c>
      <c r="O49" s="4" t="s">
        <v>296</v>
      </c>
      <c r="P49" s="5">
        <v>0</v>
      </c>
      <c r="Q49" s="5">
        <v>3</v>
      </c>
      <c r="R49" s="5">
        <v>6</v>
      </c>
      <c r="S49" s="5">
        <v>5</v>
      </c>
      <c r="T49" s="6">
        <v>3</v>
      </c>
      <c r="U49" s="6">
        <v>4</v>
      </c>
      <c r="V49">
        <f t="shared" si="5"/>
        <v>12</v>
      </c>
      <c r="W49" t="str">
        <f t="shared" si="6"/>
        <v>Élevé</v>
      </c>
      <c r="X49" s="7" t="s">
        <v>319</v>
      </c>
      <c r="Y49" s="8" t="s">
        <v>320</v>
      </c>
      <c r="Z49" s="8" t="s">
        <v>160</v>
      </c>
      <c r="AA49" s="8" t="s">
        <v>321</v>
      </c>
      <c r="AB49" s="6">
        <v>2</v>
      </c>
      <c r="AC49" s="6">
        <v>3</v>
      </c>
      <c r="AD49">
        <f t="shared" si="7"/>
        <v>6</v>
      </c>
      <c r="AE49" s="9" t="str">
        <f t="shared" si="8"/>
        <v>Modéré</v>
      </c>
      <c r="AF49" t="s">
        <v>177</v>
      </c>
      <c r="AG49" s="10" t="str">
        <f t="shared" si="9"/>
        <v>Dans lappétit</v>
      </c>
      <c r="AH49" t="s">
        <v>322</v>
      </c>
      <c r="AI49" s="2" t="s">
        <v>553</v>
      </c>
      <c r="AJ49" t="s">
        <v>533</v>
      </c>
      <c r="AK49" s="11">
        <v>46175</v>
      </c>
      <c r="AL49" t="s">
        <v>310</v>
      </c>
      <c r="AM49" s="11">
        <v>46034</v>
      </c>
      <c r="AN49" t="s">
        <v>286</v>
      </c>
      <c r="AO49" s="6">
        <v>1</v>
      </c>
      <c r="AP49" s="12">
        <v>500000</v>
      </c>
      <c r="AQ49" s="12">
        <v>8880</v>
      </c>
      <c r="AR49" s="2" t="s">
        <v>314</v>
      </c>
      <c r="AS49" s="2" t="s">
        <v>554</v>
      </c>
      <c r="AT49" s="2" t="s">
        <v>288</v>
      </c>
    </row>
    <row r="50" spans="1:46" ht="64" x14ac:dyDescent="0.2">
      <c r="A50" t="s">
        <v>555</v>
      </c>
      <c r="B50" t="s">
        <v>528</v>
      </c>
      <c r="C50" t="s">
        <v>529</v>
      </c>
      <c r="D50" t="s">
        <v>556</v>
      </c>
      <c r="E50" t="s">
        <v>531</v>
      </c>
      <c r="F50" t="s">
        <v>532</v>
      </c>
      <c r="G50" t="s">
        <v>557</v>
      </c>
      <c r="H50" t="s">
        <v>274</v>
      </c>
      <c r="I50" t="s">
        <v>275</v>
      </c>
      <c r="J50" s="2" t="s">
        <v>558</v>
      </c>
      <c r="K50" s="2" t="s">
        <v>535</v>
      </c>
      <c r="L50" s="2" t="s">
        <v>278</v>
      </c>
      <c r="M50" s="2" t="s">
        <v>279</v>
      </c>
      <c r="N50" s="4" t="s">
        <v>559</v>
      </c>
      <c r="O50" s="4" t="s">
        <v>281</v>
      </c>
      <c r="P50" s="5">
        <v>1</v>
      </c>
      <c r="Q50" s="5">
        <v>2.5</v>
      </c>
      <c r="R50" s="5">
        <v>4</v>
      </c>
      <c r="S50" s="5">
        <v>3.2</v>
      </c>
      <c r="T50" s="6">
        <v>4</v>
      </c>
      <c r="U50" s="6">
        <v>4</v>
      </c>
      <c r="V50">
        <f t="shared" si="5"/>
        <v>16</v>
      </c>
      <c r="W50" t="str">
        <f t="shared" si="6"/>
        <v>Critique</v>
      </c>
      <c r="X50" s="7" t="s">
        <v>282</v>
      </c>
      <c r="Y50" s="8" t="s">
        <v>157</v>
      </c>
      <c r="Z50" s="8" t="s">
        <v>160</v>
      </c>
      <c r="AA50" s="8" t="s">
        <v>177</v>
      </c>
      <c r="AB50" s="6">
        <v>4</v>
      </c>
      <c r="AC50" s="6">
        <v>4</v>
      </c>
      <c r="AD50">
        <f t="shared" si="7"/>
        <v>16</v>
      </c>
      <c r="AE50" s="13" t="str">
        <f t="shared" si="8"/>
        <v>Critique</v>
      </c>
      <c r="AF50" t="s">
        <v>174</v>
      </c>
      <c r="AG50" s="14" t="str">
        <f t="shared" si="9"/>
        <v>Hors appétit</v>
      </c>
      <c r="AH50" t="s">
        <v>283</v>
      </c>
      <c r="AI50" s="2" t="s">
        <v>560</v>
      </c>
      <c r="AJ50" t="s">
        <v>557</v>
      </c>
      <c r="AK50" s="11">
        <v>46186</v>
      </c>
      <c r="AL50" t="s">
        <v>196</v>
      </c>
      <c r="AM50" s="11">
        <v>46028</v>
      </c>
      <c r="AN50" t="s">
        <v>160</v>
      </c>
      <c r="AO50" s="6">
        <v>4</v>
      </c>
      <c r="AP50" s="12">
        <v>421000</v>
      </c>
      <c r="AQ50" s="12">
        <v>8240</v>
      </c>
      <c r="AR50" s="2" t="s">
        <v>275</v>
      </c>
      <c r="AS50" s="2" t="s">
        <v>538</v>
      </c>
      <c r="AT50" s="2" t="s">
        <v>288</v>
      </c>
    </row>
    <row r="51" spans="1:46" ht="64" x14ac:dyDescent="0.2">
      <c r="A51" t="s">
        <v>561</v>
      </c>
      <c r="B51" t="s">
        <v>528</v>
      </c>
      <c r="C51" t="s">
        <v>529</v>
      </c>
      <c r="D51" t="s">
        <v>556</v>
      </c>
      <c r="E51" t="s">
        <v>531</v>
      </c>
      <c r="F51" t="s">
        <v>532</v>
      </c>
      <c r="G51" t="s">
        <v>557</v>
      </c>
      <c r="H51" t="s">
        <v>290</v>
      </c>
      <c r="I51" t="s">
        <v>215</v>
      </c>
      <c r="J51" s="2" t="s">
        <v>562</v>
      </c>
      <c r="K51" s="2" t="s">
        <v>535</v>
      </c>
      <c r="L51" s="2" t="s">
        <v>293</v>
      </c>
      <c r="M51" s="2" t="s">
        <v>294</v>
      </c>
      <c r="N51" s="4" t="s">
        <v>563</v>
      </c>
      <c r="O51" s="4" t="s">
        <v>296</v>
      </c>
      <c r="P51" s="5">
        <v>0</v>
      </c>
      <c r="Q51" s="5">
        <v>2</v>
      </c>
      <c r="R51" s="5">
        <v>4</v>
      </c>
      <c r="S51" s="5">
        <v>2</v>
      </c>
      <c r="T51" s="6">
        <v>4</v>
      </c>
      <c r="U51" s="6">
        <v>5</v>
      </c>
      <c r="V51">
        <f t="shared" si="5"/>
        <v>20</v>
      </c>
      <c r="W51" t="str">
        <f t="shared" si="6"/>
        <v>Critique</v>
      </c>
      <c r="X51" s="7" t="s">
        <v>297</v>
      </c>
      <c r="Y51" s="8" t="s">
        <v>298</v>
      </c>
      <c r="Z51" s="8" t="s">
        <v>202</v>
      </c>
      <c r="AA51" s="8" t="s">
        <v>163</v>
      </c>
      <c r="AB51" s="6">
        <v>3</v>
      </c>
      <c r="AC51" s="6">
        <v>5</v>
      </c>
      <c r="AD51">
        <f t="shared" si="7"/>
        <v>15</v>
      </c>
      <c r="AE51" s="13" t="str">
        <f t="shared" si="8"/>
        <v>Critique</v>
      </c>
      <c r="AF51" t="s">
        <v>177</v>
      </c>
      <c r="AG51" s="14" t="str">
        <f t="shared" si="9"/>
        <v>Hors appétit</v>
      </c>
      <c r="AH51" t="s">
        <v>283</v>
      </c>
      <c r="AI51" s="2" t="s">
        <v>564</v>
      </c>
      <c r="AJ51" t="s">
        <v>557</v>
      </c>
      <c r="AK51" s="11">
        <v>46197</v>
      </c>
      <c r="AL51" t="s">
        <v>310</v>
      </c>
      <c r="AM51" s="11">
        <v>46022</v>
      </c>
      <c r="AN51" t="s">
        <v>160</v>
      </c>
      <c r="AO51" s="6">
        <v>3</v>
      </c>
      <c r="AP51" s="12">
        <v>520000</v>
      </c>
      <c r="AQ51" s="12">
        <v>8640</v>
      </c>
      <c r="AR51" s="2" t="s">
        <v>215</v>
      </c>
      <c r="AS51" s="2" t="s">
        <v>543</v>
      </c>
      <c r="AT51" s="2" t="s">
        <v>288</v>
      </c>
    </row>
    <row r="52" spans="1:46" ht="64" x14ac:dyDescent="0.2">
      <c r="A52" t="s">
        <v>565</v>
      </c>
      <c r="B52" t="s">
        <v>528</v>
      </c>
      <c r="C52" t="s">
        <v>529</v>
      </c>
      <c r="D52" t="s">
        <v>556</v>
      </c>
      <c r="E52" t="s">
        <v>531</v>
      </c>
      <c r="F52" t="s">
        <v>532</v>
      </c>
      <c r="G52" t="s">
        <v>557</v>
      </c>
      <c r="H52" t="s">
        <v>104</v>
      </c>
      <c r="I52" t="s">
        <v>107</v>
      </c>
      <c r="J52" s="2" t="s">
        <v>566</v>
      </c>
      <c r="K52" s="2" t="s">
        <v>535</v>
      </c>
      <c r="L52" s="2" t="s">
        <v>304</v>
      </c>
      <c r="M52" s="2" t="s">
        <v>546</v>
      </c>
      <c r="N52" s="4" t="s">
        <v>567</v>
      </c>
      <c r="O52" s="4" t="s">
        <v>296</v>
      </c>
      <c r="P52" s="5">
        <v>0</v>
      </c>
      <c r="Q52" s="5">
        <v>1</v>
      </c>
      <c r="R52" s="5">
        <v>3</v>
      </c>
      <c r="S52" s="5">
        <v>1</v>
      </c>
      <c r="T52" s="6">
        <v>4</v>
      </c>
      <c r="U52" s="6">
        <v>5</v>
      </c>
      <c r="V52">
        <f t="shared" si="5"/>
        <v>20</v>
      </c>
      <c r="W52" t="str">
        <f t="shared" si="6"/>
        <v>Critique</v>
      </c>
      <c r="X52" s="7" t="s">
        <v>307</v>
      </c>
      <c r="Y52" s="8" t="s">
        <v>157</v>
      </c>
      <c r="Z52" s="8" t="s">
        <v>160</v>
      </c>
      <c r="AA52" s="8" t="s">
        <v>163</v>
      </c>
      <c r="AB52" s="6">
        <v>3</v>
      </c>
      <c r="AC52" s="6">
        <v>5</v>
      </c>
      <c r="AD52">
        <f t="shared" si="7"/>
        <v>15</v>
      </c>
      <c r="AE52" s="13" t="str">
        <f t="shared" si="8"/>
        <v>Critique</v>
      </c>
      <c r="AF52" t="s">
        <v>177</v>
      </c>
      <c r="AG52" s="14" t="str">
        <f t="shared" si="9"/>
        <v>Hors appétit</v>
      </c>
      <c r="AH52" t="s">
        <v>308</v>
      </c>
      <c r="AI52" s="2" t="s">
        <v>568</v>
      </c>
      <c r="AJ52" t="s">
        <v>557</v>
      </c>
      <c r="AK52" s="11">
        <v>46208</v>
      </c>
      <c r="AL52" t="s">
        <v>285</v>
      </c>
      <c r="AM52" s="11">
        <v>46016</v>
      </c>
      <c r="AN52" t="s">
        <v>160</v>
      </c>
      <c r="AO52" s="6">
        <v>3</v>
      </c>
      <c r="AP52" s="12">
        <v>743000</v>
      </c>
      <c r="AQ52" s="12">
        <v>9040</v>
      </c>
      <c r="AR52" s="15" t="s">
        <v>107</v>
      </c>
      <c r="AS52" s="2" t="s">
        <v>549</v>
      </c>
      <c r="AT52" s="2" t="s">
        <v>288</v>
      </c>
    </row>
    <row r="53" spans="1:46" ht="64" x14ac:dyDescent="0.2">
      <c r="A53" t="s">
        <v>569</v>
      </c>
      <c r="B53" t="s">
        <v>528</v>
      </c>
      <c r="C53" t="s">
        <v>529</v>
      </c>
      <c r="D53" t="s">
        <v>556</v>
      </c>
      <c r="E53" t="s">
        <v>531</v>
      </c>
      <c r="F53" t="s">
        <v>532</v>
      </c>
      <c r="G53" t="s">
        <v>557</v>
      </c>
      <c r="H53" t="s">
        <v>313</v>
      </c>
      <c r="I53" t="s">
        <v>314</v>
      </c>
      <c r="J53" s="2" t="s">
        <v>570</v>
      </c>
      <c r="K53" s="2" t="s">
        <v>535</v>
      </c>
      <c r="L53" s="2" t="s">
        <v>316</v>
      </c>
      <c r="M53" s="2" t="s">
        <v>505</v>
      </c>
      <c r="N53" s="4" t="s">
        <v>571</v>
      </c>
      <c r="O53" s="4" t="s">
        <v>296</v>
      </c>
      <c r="P53" s="5">
        <v>0</v>
      </c>
      <c r="Q53" s="5">
        <v>3</v>
      </c>
      <c r="R53" s="5">
        <v>6</v>
      </c>
      <c r="S53" s="5">
        <v>4</v>
      </c>
      <c r="T53" s="6">
        <v>3</v>
      </c>
      <c r="U53" s="6">
        <v>5</v>
      </c>
      <c r="V53">
        <f t="shared" si="5"/>
        <v>15</v>
      </c>
      <c r="W53" t="str">
        <f t="shared" si="6"/>
        <v>Critique</v>
      </c>
      <c r="X53" s="7" t="s">
        <v>319</v>
      </c>
      <c r="Y53" s="8" t="s">
        <v>320</v>
      </c>
      <c r="Z53" s="8" t="s">
        <v>160</v>
      </c>
      <c r="AA53" s="8" t="s">
        <v>163</v>
      </c>
      <c r="AB53" s="6">
        <v>2</v>
      </c>
      <c r="AC53" s="6">
        <v>5</v>
      </c>
      <c r="AD53">
        <f t="shared" si="7"/>
        <v>10</v>
      </c>
      <c r="AE53" s="14" t="str">
        <f t="shared" si="8"/>
        <v>Élevé</v>
      </c>
      <c r="AF53" t="s">
        <v>177</v>
      </c>
      <c r="AG53" s="14" t="str">
        <f t="shared" si="9"/>
        <v>Hors appétit</v>
      </c>
      <c r="AH53" t="s">
        <v>283</v>
      </c>
      <c r="AI53" s="2" t="s">
        <v>572</v>
      </c>
      <c r="AJ53" t="s">
        <v>557</v>
      </c>
      <c r="AK53" s="11">
        <v>46219</v>
      </c>
      <c r="AL53" t="s">
        <v>285</v>
      </c>
      <c r="AM53" s="11">
        <v>46010</v>
      </c>
      <c r="AN53" t="s">
        <v>202</v>
      </c>
      <c r="AO53" s="6">
        <v>2</v>
      </c>
      <c r="AP53" s="12">
        <v>605000</v>
      </c>
      <c r="AQ53" s="12">
        <v>9440</v>
      </c>
      <c r="AR53" s="2" t="s">
        <v>314</v>
      </c>
      <c r="AS53" s="2" t="s">
        <v>554</v>
      </c>
      <c r="AT53" s="2" t="s">
        <v>288</v>
      </c>
    </row>
    <row r="54" spans="1:46" ht="64" x14ac:dyDescent="0.2">
      <c r="A54" t="s">
        <v>573</v>
      </c>
      <c r="B54" t="s">
        <v>528</v>
      </c>
      <c r="C54" t="s">
        <v>529</v>
      </c>
      <c r="D54" t="s">
        <v>574</v>
      </c>
      <c r="E54" t="s">
        <v>531</v>
      </c>
      <c r="F54" t="s">
        <v>532</v>
      </c>
      <c r="G54" t="s">
        <v>575</v>
      </c>
      <c r="H54" t="s">
        <v>274</v>
      </c>
      <c r="I54" t="s">
        <v>275</v>
      </c>
      <c r="J54" s="2" t="s">
        <v>576</v>
      </c>
      <c r="K54" s="2" t="s">
        <v>535</v>
      </c>
      <c r="L54" s="2" t="s">
        <v>278</v>
      </c>
      <c r="M54" s="2" t="s">
        <v>279</v>
      </c>
      <c r="N54" s="4" t="s">
        <v>577</v>
      </c>
      <c r="O54" s="4" t="s">
        <v>281</v>
      </c>
      <c r="P54" s="5">
        <v>1</v>
      </c>
      <c r="Q54" s="5">
        <v>2.5</v>
      </c>
      <c r="R54" s="5">
        <v>4</v>
      </c>
      <c r="S54" s="5">
        <v>2.5</v>
      </c>
      <c r="T54" s="6">
        <v>4</v>
      </c>
      <c r="U54" s="6">
        <v>4</v>
      </c>
      <c r="V54">
        <f t="shared" si="5"/>
        <v>16</v>
      </c>
      <c r="W54" t="str">
        <f t="shared" si="6"/>
        <v>Critique</v>
      </c>
      <c r="X54" s="7" t="s">
        <v>282</v>
      </c>
      <c r="Y54" s="8" t="s">
        <v>157</v>
      </c>
      <c r="Z54" s="8" t="s">
        <v>160</v>
      </c>
      <c r="AA54" s="8" t="s">
        <v>321</v>
      </c>
      <c r="AB54" s="6">
        <v>2</v>
      </c>
      <c r="AC54" s="6">
        <v>3</v>
      </c>
      <c r="AD54">
        <f t="shared" si="7"/>
        <v>6</v>
      </c>
      <c r="AE54" s="9" t="str">
        <f t="shared" si="8"/>
        <v>Modéré</v>
      </c>
      <c r="AF54" t="s">
        <v>174</v>
      </c>
      <c r="AG54" s="10" t="str">
        <f t="shared" si="9"/>
        <v>Dans lappétit</v>
      </c>
      <c r="AH54" t="s">
        <v>322</v>
      </c>
      <c r="AI54" s="2" t="s">
        <v>578</v>
      </c>
      <c r="AJ54" t="s">
        <v>575</v>
      </c>
      <c r="AK54" s="11">
        <v>46230</v>
      </c>
      <c r="AL54" t="s">
        <v>196</v>
      </c>
      <c r="AM54" s="11">
        <v>46004</v>
      </c>
      <c r="AN54" t="s">
        <v>286</v>
      </c>
      <c r="AO54" s="6">
        <v>3</v>
      </c>
      <c r="AP54" s="12">
        <v>430000</v>
      </c>
      <c r="AQ54" s="12">
        <v>8800</v>
      </c>
      <c r="AR54" s="2" t="s">
        <v>275</v>
      </c>
      <c r="AS54" s="2" t="s">
        <v>538</v>
      </c>
      <c r="AT54" s="2" t="s">
        <v>288</v>
      </c>
    </row>
    <row r="55" spans="1:46" ht="64" x14ac:dyDescent="0.2">
      <c r="A55" t="s">
        <v>579</v>
      </c>
      <c r="B55" t="s">
        <v>528</v>
      </c>
      <c r="C55" t="s">
        <v>529</v>
      </c>
      <c r="D55" t="s">
        <v>574</v>
      </c>
      <c r="E55" t="s">
        <v>531</v>
      </c>
      <c r="F55" t="s">
        <v>532</v>
      </c>
      <c r="G55" t="s">
        <v>575</v>
      </c>
      <c r="H55" t="s">
        <v>290</v>
      </c>
      <c r="I55" t="s">
        <v>215</v>
      </c>
      <c r="J55" s="2" t="s">
        <v>580</v>
      </c>
      <c r="K55" s="2" t="s">
        <v>535</v>
      </c>
      <c r="L55" s="2" t="s">
        <v>293</v>
      </c>
      <c r="M55" s="2" t="s">
        <v>294</v>
      </c>
      <c r="N55" s="4" t="s">
        <v>581</v>
      </c>
      <c r="O55" s="4" t="s">
        <v>296</v>
      </c>
      <c r="P55" s="5">
        <v>0</v>
      </c>
      <c r="Q55" s="5">
        <v>2</v>
      </c>
      <c r="R55" s="5">
        <v>4</v>
      </c>
      <c r="S55" s="5">
        <v>4</v>
      </c>
      <c r="T55" s="6">
        <v>4</v>
      </c>
      <c r="U55" s="6">
        <v>4</v>
      </c>
      <c r="V55">
        <f t="shared" si="5"/>
        <v>16</v>
      </c>
      <c r="W55" t="str">
        <f t="shared" si="6"/>
        <v>Critique</v>
      </c>
      <c r="X55" s="7" t="s">
        <v>297</v>
      </c>
      <c r="Y55" s="8" t="s">
        <v>298</v>
      </c>
      <c r="Z55" s="8" t="s">
        <v>202</v>
      </c>
      <c r="AA55" s="8" t="s">
        <v>321</v>
      </c>
      <c r="AB55" s="6">
        <v>3</v>
      </c>
      <c r="AC55" s="6">
        <v>3</v>
      </c>
      <c r="AD55">
        <f t="shared" si="7"/>
        <v>9</v>
      </c>
      <c r="AE55" s="9" t="str">
        <f t="shared" si="8"/>
        <v>Modéré</v>
      </c>
      <c r="AF55" t="s">
        <v>177</v>
      </c>
      <c r="AG55" s="14" t="str">
        <f t="shared" si="9"/>
        <v>Hors appétit</v>
      </c>
      <c r="AH55" t="s">
        <v>283</v>
      </c>
      <c r="AI55" s="2" t="s">
        <v>582</v>
      </c>
      <c r="AJ55" t="s">
        <v>575</v>
      </c>
      <c r="AK55" s="11">
        <v>46241</v>
      </c>
      <c r="AL55" t="s">
        <v>300</v>
      </c>
      <c r="AM55" s="11">
        <v>45998</v>
      </c>
      <c r="AN55" t="s">
        <v>286</v>
      </c>
      <c r="AO55" s="6">
        <v>2</v>
      </c>
      <c r="AP55" s="12">
        <v>441000</v>
      </c>
      <c r="AQ55" s="12">
        <v>9200</v>
      </c>
      <c r="AR55" s="2" t="s">
        <v>215</v>
      </c>
      <c r="AS55" s="2" t="s">
        <v>543</v>
      </c>
      <c r="AT55" s="2" t="s">
        <v>288</v>
      </c>
    </row>
    <row r="56" spans="1:46" ht="64" x14ac:dyDescent="0.2">
      <c r="A56" t="s">
        <v>583</v>
      </c>
      <c r="B56" t="s">
        <v>528</v>
      </c>
      <c r="C56" t="s">
        <v>529</v>
      </c>
      <c r="D56" t="s">
        <v>574</v>
      </c>
      <c r="E56" t="s">
        <v>531</v>
      </c>
      <c r="F56" t="s">
        <v>532</v>
      </c>
      <c r="G56" t="s">
        <v>575</v>
      </c>
      <c r="H56" t="s">
        <v>104</v>
      </c>
      <c r="I56" t="s">
        <v>107</v>
      </c>
      <c r="J56" s="2" t="s">
        <v>584</v>
      </c>
      <c r="K56" s="2" t="s">
        <v>535</v>
      </c>
      <c r="L56" s="2" t="s">
        <v>304</v>
      </c>
      <c r="M56" s="2" t="s">
        <v>546</v>
      </c>
      <c r="N56" s="4" t="s">
        <v>585</v>
      </c>
      <c r="O56" s="4" t="s">
        <v>296</v>
      </c>
      <c r="P56" s="5">
        <v>0</v>
      </c>
      <c r="Q56" s="5">
        <v>1</v>
      </c>
      <c r="R56" s="5">
        <v>3</v>
      </c>
      <c r="S56" s="5">
        <v>1</v>
      </c>
      <c r="T56" s="6">
        <v>4</v>
      </c>
      <c r="U56" s="6">
        <v>5</v>
      </c>
      <c r="V56">
        <f t="shared" si="5"/>
        <v>20</v>
      </c>
      <c r="W56" t="str">
        <f t="shared" si="6"/>
        <v>Critique</v>
      </c>
      <c r="X56" s="7" t="s">
        <v>307</v>
      </c>
      <c r="Y56" s="8" t="s">
        <v>157</v>
      </c>
      <c r="Z56" s="8" t="s">
        <v>160</v>
      </c>
      <c r="AA56" s="8" t="s">
        <v>177</v>
      </c>
      <c r="AB56" s="6">
        <v>4</v>
      </c>
      <c r="AC56" s="6">
        <v>5</v>
      </c>
      <c r="AD56">
        <f t="shared" si="7"/>
        <v>20</v>
      </c>
      <c r="AE56" s="13" t="str">
        <f t="shared" si="8"/>
        <v>Critique</v>
      </c>
      <c r="AF56" t="s">
        <v>177</v>
      </c>
      <c r="AG56" s="14" t="str">
        <f t="shared" si="9"/>
        <v>Hors appétit</v>
      </c>
      <c r="AH56" t="s">
        <v>308</v>
      </c>
      <c r="AI56" s="2" t="s">
        <v>586</v>
      </c>
      <c r="AJ56" t="s">
        <v>575</v>
      </c>
      <c r="AK56" s="11">
        <v>46252</v>
      </c>
      <c r="AL56" t="s">
        <v>285</v>
      </c>
      <c r="AM56" s="11">
        <v>45992</v>
      </c>
      <c r="AN56" t="s">
        <v>160</v>
      </c>
      <c r="AO56" s="6">
        <v>3</v>
      </c>
      <c r="AP56" s="12">
        <v>756000</v>
      </c>
      <c r="AQ56" s="12">
        <v>9600</v>
      </c>
      <c r="AR56" s="15" t="s">
        <v>107</v>
      </c>
      <c r="AS56" s="2" t="s">
        <v>549</v>
      </c>
      <c r="AT56" s="2" t="s">
        <v>288</v>
      </c>
    </row>
    <row r="57" spans="1:46" ht="64" x14ac:dyDescent="0.2">
      <c r="A57" t="s">
        <v>587</v>
      </c>
      <c r="B57" t="s">
        <v>528</v>
      </c>
      <c r="C57" t="s">
        <v>529</v>
      </c>
      <c r="D57" t="s">
        <v>574</v>
      </c>
      <c r="E57" t="s">
        <v>531</v>
      </c>
      <c r="F57" t="s">
        <v>532</v>
      </c>
      <c r="G57" t="s">
        <v>575</v>
      </c>
      <c r="H57" t="s">
        <v>313</v>
      </c>
      <c r="I57" t="s">
        <v>314</v>
      </c>
      <c r="J57" s="2" t="s">
        <v>588</v>
      </c>
      <c r="K57" s="2" t="s">
        <v>535</v>
      </c>
      <c r="L57" s="2" t="s">
        <v>316</v>
      </c>
      <c r="M57" s="2" t="s">
        <v>505</v>
      </c>
      <c r="N57" s="4" t="s">
        <v>589</v>
      </c>
      <c r="O57" s="4" t="s">
        <v>296</v>
      </c>
      <c r="P57" s="5">
        <v>0</v>
      </c>
      <c r="Q57" s="5">
        <v>3</v>
      </c>
      <c r="R57" s="5">
        <v>6</v>
      </c>
      <c r="S57" s="5">
        <v>3</v>
      </c>
      <c r="T57" s="6">
        <v>3</v>
      </c>
      <c r="U57" s="6">
        <v>5</v>
      </c>
      <c r="V57">
        <f t="shared" si="5"/>
        <v>15</v>
      </c>
      <c r="W57" t="str">
        <f t="shared" si="6"/>
        <v>Critique</v>
      </c>
      <c r="X57" s="7" t="s">
        <v>319</v>
      </c>
      <c r="Y57" s="8" t="s">
        <v>320</v>
      </c>
      <c r="Z57" s="8" t="s">
        <v>160</v>
      </c>
      <c r="AA57" s="8" t="s">
        <v>177</v>
      </c>
      <c r="AB57" s="6">
        <v>3</v>
      </c>
      <c r="AC57" s="6">
        <v>5</v>
      </c>
      <c r="AD57">
        <f t="shared" si="7"/>
        <v>15</v>
      </c>
      <c r="AE57" s="13" t="str">
        <f t="shared" si="8"/>
        <v>Critique</v>
      </c>
      <c r="AF57" t="s">
        <v>177</v>
      </c>
      <c r="AG57" s="14" t="str">
        <f t="shared" si="9"/>
        <v>Hors appétit</v>
      </c>
      <c r="AH57" t="s">
        <v>283</v>
      </c>
      <c r="AI57" s="2" t="s">
        <v>590</v>
      </c>
      <c r="AJ57" t="s">
        <v>575</v>
      </c>
      <c r="AK57" s="11">
        <v>46263</v>
      </c>
      <c r="AL57" t="s">
        <v>285</v>
      </c>
      <c r="AM57" s="11">
        <v>45986</v>
      </c>
      <c r="AN57" t="s">
        <v>160</v>
      </c>
      <c r="AO57" s="6">
        <v>2</v>
      </c>
      <c r="AP57" s="12">
        <v>617000</v>
      </c>
      <c r="AQ57" s="12">
        <v>10000</v>
      </c>
      <c r="AR57" s="2" t="s">
        <v>314</v>
      </c>
      <c r="AS57" s="2" t="s">
        <v>554</v>
      </c>
      <c r="AT57" s="2" t="s">
        <v>288</v>
      </c>
    </row>
    <row r="58" spans="1:46" ht="64" x14ac:dyDescent="0.2">
      <c r="A58" t="s">
        <v>591</v>
      </c>
      <c r="B58" t="s">
        <v>528</v>
      </c>
      <c r="C58" t="s">
        <v>592</v>
      </c>
      <c r="D58" t="s">
        <v>593</v>
      </c>
      <c r="E58" t="s">
        <v>594</v>
      </c>
      <c r="F58" t="s">
        <v>594</v>
      </c>
      <c r="G58" t="s">
        <v>595</v>
      </c>
      <c r="H58" t="s">
        <v>274</v>
      </c>
      <c r="I58" t="s">
        <v>275</v>
      </c>
      <c r="J58" s="2" t="s">
        <v>596</v>
      </c>
      <c r="K58" s="2" t="s">
        <v>597</v>
      </c>
      <c r="L58" s="2" t="s">
        <v>278</v>
      </c>
      <c r="M58" s="2" t="s">
        <v>279</v>
      </c>
      <c r="N58" s="4" t="s">
        <v>598</v>
      </c>
      <c r="O58" s="4" t="s">
        <v>281</v>
      </c>
      <c r="P58" s="5">
        <v>1</v>
      </c>
      <c r="Q58" s="5">
        <v>2.5</v>
      </c>
      <c r="R58" s="5">
        <v>4</v>
      </c>
      <c r="S58" s="5">
        <v>2.2000000000000002</v>
      </c>
      <c r="T58" s="6">
        <v>3</v>
      </c>
      <c r="U58" s="6">
        <v>4</v>
      </c>
      <c r="V58">
        <f t="shared" si="5"/>
        <v>12</v>
      </c>
      <c r="W58" t="str">
        <f t="shared" si="6"/>
        <v>Élevé</v>
      </c>
      <c r="X58" s="7" t="s">
        <v>282</v>
      </c>
      <c r="Y58" s="8" t="s">
        <v>157</v>
      </c>
      <c r="Z58" s="8" t="s">
        <v>160</v>
      </c>
      <c r="AA58" s="8" t="s">
        <v>163</v>
      </c>
      <c r="AB58" s="6">
        <v>2</v>
      </c>
      <c r="AC58" s="6">
        <v>4</v>
      </c>
      <c r="AD58">
        <f t="shared" si="7"/>
        <v>8</v>
      </c>
      <c r="AE58" s="9" t="str">
        <f t="shared" si="8"/>
        <v>Modéré</v>
      </c>
      <c r="AF58" t="s">
        <v>174</v>
      </c>
      <c r="AG58" s="10" t="str">
        <f t="shared" si="9"/>
        <v>Dans lappétit</v>
      </c>
      <c r="AH58" t="s">
        <v>283</v>
      </c>
      <c r="AI58" s="2" t="s">
        <v>599</v>
      </c>
      <c r="AJ58" t="s">
        <v>595</v>
      </c>
      <c r="AK58" s="11">
        <v>46274</v>
      </c>
      <c r="AL58" t="s">
        <v>285</v>
      </c>
      <c r="AM58" s="11">
        <v>45980</v>
      </c>
      <c r="AN58" t="s">
        <v>286</v>
      </c>
      <c r="AO58" s="6">
        <v>3</v>
      </c>
      <c r="AP58" s="12">
        <v>339000</v>
      </c>
      <c r="AQ58" s="12">
        <v>5500</v>
      </c>
      <c r="AR58" s="2" t="s">
        <v>275</v>
      </c>
      <c r="AS58" s="2" t="s">
        <v>600</v>
      </c>
      <c r="AT58" s="2" t="s">
        <v>288</v>
      </c>
    </row>
    <row r="59" spans="1:46" ht="64" x14ac:dyDescent="0.2">
      <c r="A59" t="s">
        <v>601</v>
      </c>
      <c r="B59" t="s">
        <v>528</v>
      </c>
      <c r="C59" t="s">
        <v>592</v>
      </c>
      <c r="D59" t="s">
        <v>593</v>
      </c>
      <c r="E59" t="s">
        <v>594</v>
      </c>
      <c r="F59" t="s">
        <v>594</v>
      </c>
      <c r="G59" t="s">
        <v>595</v>
      </c>
      <c r="H59" t="s">
        <v>290</v>
      </c>
      <c r="I59" t="s">
        <v>373</v>
      </c>
      <c r="J59" s="2" t="s">
        <v>602</v>
      </c>
      <c r="K59" s="2" t="s">
        <v>597</v>
      </c>
      <c r="L59" s="2" t="s">
        <v>293</v>
      </c>
      <c r="M59" s="2" t="s">
        <v>294</v>
      </c>
      <c r="N59" s="4" t="s">
        <v>603</v>
      </c>
      <c r="O59" s="4" t="s">
        <v>296</v>
      </c>
      <c r="P59" s="5">
        <v>0</v>
      </c>
      <c r="Q59" s="5">
        <v>2</v>
      </c>
      <c r="R59" s="5">
        <v>4</v>
      </c>
      <c r="S59" s="5">
        <v>4</v>
      </c>
      <c r="T59" s="6">
        <v>3</v>
      </c>
      <c r="U59" s="6">
        <v>4</v>
      </c>
      <c r="V59">
        <f t="shared" si="5"/>
        <v>12</v>
      </c>
      <c r="W59" t="str">
        <f t="shared" si="6"/>
        <v>Élevé</v>
      </c>
      <c r="X59" s="7" t="s">
        <v>297</v>
      </c>
      <c r="Y59" s="8" t="s">
        <v>298</v>
      </c>
      <c r="Z59" s="8" t="s">
        <v>202</v>
      </c>
      <c r="AA59" s="8" t="s">
        <v>177</v>
      </c>
      <c r="AB59" s="6">
        <v>3</v>
      </c>
      <c r="AC59" s="6">
        <v>4</v>
      </c>
      <c r="AD59">
        <f t="shared" si="7"/>
        <v>12</v>
      </c>
      <c r="AE59" s="14" t="str">
        <f t="shared" si="8"/>
        <v>Élevé</v>
      </c>
      <c r="AF59" t="s">
        <v>177</v>
      </c>
      <c r="AG59" s="14" t="str">
        <f t="shared" si="9"/>
        <v>Hors appétit</v>
      </c>
      <c r="AH59" t="s">
        <v>283</v>
      </c>
      <c r="AI59" s="2" t="s">
        <v>604</v>
      </c>
      <c r="AJ59" t="s">
        <v>595</v>
      </c>
      <c r="AK59" s="11">
        <v>46285</v>
      </c>
      <c r="AL59" t="s">
        <v>196</v>
      </c>
      <c r="AM59" s="11">
        <v>45974</v>
      </c>
      <c r="AN59" t="s">
        <v>202</v>
      </c>
      <c r="AO59" s="6">
        <v>2</v>
      </c>
      <c r="AP59" s="12">
        <v>350000</v>
      </c>
      <c r="AQ59" s="12">
        <v>5750</v>
      </c>
      <c r="AR59" s="2" t="s">
        <v>373</v>
      </c>
      <c r="AS59" s="2" t="s">
        <v>605</v>
      </c>
      <c r="AT59" s="2" t="s">
        <v>288</v>
      </c>
    </row>
    <row r="60" spans="1:46" ht="64" x14ac:dyDescent="0.2">
      <c r="A60" t="s">
        <v>606</v>
      </c>
      <c r="B60" t="s">
        <v>528</v>
      </c>
      <c r="C60" t="s">
        <v>592</v>
      </c>
      <c r="D60" t="s">
        <v>593</v>
      </c>
      <c r="E60" t="s">
        <v>594</v>
      </c>
      <c r="F60" t="s">
        <v>594</v>
      </c>
      <c r="G60" t="s">
        <v>595</v>
      </c>
      <c r="H60" t="s">
        <v>104</v>
      </c>
      <c r="I60" t="s">
        <v>107</v>
      </c>
      <c r="J60" s="2" t="s">
        <v>607</v>
      </c>
      <c r="K60" s="2" t="s">
        <v>597</v>
      </c>
      <c r="L60" s="2" t="s">
        <v>304</v>
      </c>
      <c r="M60" s="2" t="s">
        <v>305</v>
      </c>
      <c r="N60" s="4" t="s">
        <v>608</v>
      </c>
      <c r="O60" s="4" t="s">
        <v>296</v>
      </c>
      <c r="P60" s="5">
        <v>0</v>
      </c>
      <c r="Q60" s="5">
        <v>1</v>
      </c>
      <c r="R60" s="5">
        <v>3</v>
      </c>
      <c r="S60" s="5">
        <v>3</v>
      </c>
      <c r="T60" s="6">
        <v>3</v>
      </c>
      <c r="U60" s="6">
        <v>5</v>
      </c>
      <c r="V60">
        <f t="shared" si="5"/>
        <v>15</v>
      </c>
      <c r="W60" t="str">
        <f t="shared" si="6"/>
        <v>Critique</v>
      </c>
      <c r="X60" s="7" t="s">
        <v>307</v>
      </c>
      <c r="Y60" s="8" t="s">
        <v>157</v>
      </c>
      <c r="Z60" s="8" t="s">
        <v>160</v>
      </c>
      <c r="AA60" s="8" t="s">
        <v>163</v>
      </c>
      <c r="AB60" s="6">
        <v>2</v>
      </c>
      <c r="AC60" s="6">
        <v>5</v>
      </c>
      <c r="AD60">
        <f t="shared" si="7"/>
        <v>10</v>
      </c>
      <c r="AE60" s="14" t="str">
        <f t="shared" si="8"/>
        <v>Élevé</v>
      </c>
      <c r="AF60" t="s">
        <v>177</v>
      </c>
      <c r="AG60" s="14" t="str">
        <f t="shared" si="9"/>
        <v>Hors appétit</v>
      </c>
      <c r="AH60" t="s">
        <v>308</v>
      </c>
      <c r="AI60" s="2" t="s">
        <v>609</v>
      </c>
      <c r="AJ60" t="s">
        <v>595</v>
      </c>
      <c r="AK60" s="11">
        <v>46296</v>
      </c>
      <c r="AL60" t="s">
        <v>310</v>
      </c>
      <c r="AM60" s="11">
        <v>45968</v>
      </c>
      <c r="AN60" t="s">
        <v>202</v>
      </c>
      <c r="AO60" s="6">
        <v>2</v>
      </c>
      <c r="AP60" s="12">
        <v>598000</v>
      </c>
      <c r="AQ60" s="12">
        <v>6000</v>
      </c>
      <c r="AR60" s="15" t="s">
        <v>107</v>
      </c>
      <c r="AS60" s="2" t="s">
        <v>610</v>
      </c>
      <c r="AT60" s="2" t="s">
        <v>288</v>
      </c>
    </row>
    <row r="61" spans="1:46" ht="64" x14ac:dyDescent="0.2">
      <c r="A61" t="s">
        <v>611</v>
      </c>
      <c r="B61" t="s">
        <v>528</v>
      </c>
      <c r="C61" t="s">
        <v>592</v>
      </c>
      <c r="D61" t="s">
        <v>593</v>
      </c>
      <c r="E61" t="s">
        <v>594</v>
      </c>
      <c r="F61" t="s">
        <v>594</v>
      </c>
      <c r="G61" t="s">
        <v>595</v>
      </c>
      <c r="H61" t="s">
        <v>313</v>
      </c>
      <c r="I61" t="s">
        <v>314</v>
      </c>
      <c r="J61" s="2" t="s">
        <v>612</v>
      </c>
      <c r="K61" s="2" t="s">
        <v>597</v>
      </c>
      <c r="L61" s="2" t="s">
        <v>316</v>
      </c>
      <c r="M61" s="2" t="s">
        <v>613</v>
      </c>
      <c r="N61" s="4" t="s">
        <v>614</v>
      </c>
      <c r="O61" s="4" t="s">
        <v>296</v>
      </c>
      <c r="P61" s="5">
        <v>0</v>
      </c>
      <c r="Q61" s="5">
        <v>3</v>
      </c>
      <c r="R61" s="5">
        <v>6</v>
      </c>
      <c r="S61" s="5">
        <v>2</v>
      </c>
      <c r="T61" s="6">
        <v>2</v>
      </c>
      <c r="U61" s="6">
        <v>4</v>
      </c>
      <c r="V61">
        <f t="shared" si="5"/>
        <v>8</v>
      </c>
      <c r="W61" t="str">
        <f t="shared" si="6"/>
        <v>Modéré</v>
      </c>
      <c r="X61" s="7" t="s">
        <v>319</v>
      </c>
      <c r="Y61" s="8" t="s">
        <v>320</v>
      </c>
      <c r="Z61" s="8" t="s">
        <v>160</v>
      </c>
      <c r="AA61" s="8" t="s">
        <v>321</v>
      </c>
      <c r="AB61" s="6">
        <v>1</v>
      </c>
      <c r="AC61" s="6">
        <v>3</v>
      </c>
      <c r="AD61">
        <f t="shared" si="7"/>
        <v>3</v>
      </c>
      <c r="AE61" s="10" t="str">
        <f t="shared" si="8"/>
        <v>Faible</v>
      </c>
      <c r="AF61" t="s">
        <v>177</v>
      </c>
      <c r="AG61" s="10" t="str">
        <f t="shared" si="9"/>
        <v>Dans lappétit</v>
      </c>
      <c r="AH61" t="s">
        <v>615</v>
      </c>
      <c r="AI61" s="2" t="s">
        <v>616</v>
      </c>
      <c r="AJ61" t="s">
        <v>595</v>
      </c>
      <c r="AK61" s="11">
        <v>46307</v>
      </c>
      <c r="AL61" t="s">
        <v>300</v>
      </c>
      <c r="AM61" s="11">
        <v>46082</v>
      </c>
      <c r="AN61" t="s">
        <v>286</v>
      </c>
      <c r="AO61" s="6">
        <v>0</v>
      </c>
      <c r="AP61" s="12">
        <v>398000</v>
      </c>
      <c r="AQ61" s="12">
        <v>6250</v>
      </c>
      <c r="AR61" s="2" t="s">
        <v>314</v>
      </c>
      <c r="AS61" s="2" t="s">
        <v>617</v>
      </c>
      <c r="AT61" s="2" t="s">
        <v>288</v>
      </c>
    </row>
    <row r="62" spans="1:46" ht="48" x14ac:dyDescent="0.2">
      <c r="A62" t="s">
        <v>618</v>
      </c>
      <c r="B62" t="s">
        <v>528</v>
      </c>
      <c r="C62" t="s">
        <v>592</v>
      </c>
      <c r="D62" t="s">
        <v>619</v>
      </c>
      <c r="E62" t="s">
        <v>594</v>
      </c>
      <c r="F62" t="s">
        <v>594</v>
      </c>
      <c r="G62" t="s">
        <v>620</v>
      </c>
      <c r="H62" t="s">
        <v>274</v>
      </c>
      <c r="I62" t="s">
        <v>275</v>
      </c>
      <c r="J62" s="2" t="s">
        <v>621</v>
      </c>
      <c r="K62" s="2" t="s">
        <v>597</v>
      </c>
      <c r="L62" s="2" t="s">
        <v>278</v>
      </c>
      <c r="M62" s="2" t="s">
        <v>279</v>
      </c>
      <c r="N62" s="4" t="s">
        <v>622</v>
      </c>
      <c r="O62" s="4" t="s">
        <v>281</v>
      </c>
      <c r="P62" s="5">
        <v>1</v>
      </c>
      <c r="Q62" s="5">
        <v>2.5</v>
      </c>
      <c r="R62" s="5">
        <v>4</v>
      </c>
      <c r="S62" s="5">
        <v>2.5</v>
      </c>
      <c r="T62" s="6">
        <v>3</v>
      </c>
      <c r="U62" s="6">
        <v>4</v>
      </c>
      <c r="V62">
        <f t="shared" si="5"/>
        <v>12</v>
      </c>
      <c r="W62" t="str">
        <f t="shared" si="6"/>
        <v>Élevé</v>
      </c>
      <c r="X62" s="7" t="s">
        <v>282</v>
      </c>
      <c r="Y62" s="8" t="s">
        <v>157</v>
      </c>
      <c r="Z62" s="8" t="s">
        <v>160</v>
      </c>
      <c r="AA62" s="8" t="s">
        <v>177</v>
      </c>
      <c r="AB62" s="6">
        <v>3</v>
      </c>
      <c r="AC62" s="6">
        <v>4</v>
      </c>
      <c r="AD62">
        <f t="shared" si="7"/>
        <v>12</v>
      </c>
      <c r="AE62" s="14" t="str">
        <f t="shared" si="8"/>
        <v>Élevé</v>
      </c>
      <c r="AF62" t="s">
        <v>174</v>
      </c>
      <c r="AG62" s="14" t="str">
        <f t="shared" si="9"/>
        <v>Hors appétit</v>
      </c>
      <c r="AH62" t="s">
        <v>283</v>
      </c>
      <c r="AI62" s="2" t="s">
        <v>623</v>
      </c>
      <c r="AJ62" t="s">
        <v>620</v>
      </c>
      <c r="AK62" s="11">
        <v>46318</v>
      </c>
      <c r="AL62" t="s">
        <v>285</v>
      </c>
      <c r="AM62" s="11">
        <v>46076</v>
      </c>
      <c r="AN62" t="s">
        <v>202</v>
      </c>
      <c r="AO62" s="6">
        <v>3</v>
      </c>
      <c r="AP62" s="12">
        <v>348000</v>
      </c>
      <c r="AQ62" s="12">
        <v>5850</v>
      </c>
      <c r="AR62" s="2" t="s">
        <v>275</v>
      </c>
      <c r="AS62" s="2" t="s">
        <v>600</v>
      </c>
      <c r="AT62" s="2" t="s">
        <v>288</v>
      </c>
    </row>
    <row r="63" spans="1:46" ht="64" x14ac:dyDescent="0.2">
      <c r="A63" t="s">
        <v>624</v>
      </c>
      <c r="B63" t="s">
        <v>528</v>
      </c>
      <c r="C63" t="s">
        <v>592</v>
      </c>
      <c r="D63" t="s">
        <v>619</v>
      </c>
      <c r="E63" t="s">
        <v>594</v>
      </c>
      <c r="F63" t="s">
        <v>594</v>
      </c>
      <c r="G63" t="s">
        <v>620</v>
      </c>
      <c r="H63" t="s">
        <v>290</v>
      </c>
      <c r="I63" t="s">
        <v>373</v>
      </c>
      <c r="J63" s="2" t="s">
        <v>625</v>
      </c>
      <c r="K63" s="2" t="s">
        <v>597</v>
      </c>
      <c r="L63" s="2" t="s">
        <v>293</v>
      </c>
      <c r="M63" s="2" t="s">
        <v>294</v>
      </c>
      <c r="N63" s="4" t="s">
        <v>626</v>
      </c>
      <c r="O63" s="4" t="s">
        <v>296</v>
      </c>
      <c r="P63" s="5">
        <v>0</v>
      </c>
      <c r="Q63" s="5">
        <v>2</v>
      </c>
      <c r="R63" s="5">
        <v>4</v>
      </c>
      <c r="S63" s="5">
        <v>3</v>
      </c>
      <c r="T63" s="6">
        <v>3</v>
      </c>
      <c r="U63" s="6">
        <v>5</v>
      </c>
      <c r="V63">
        <f t="shared" si="5"/>
        <v>15</v>
      </c>
      <c r="W63" t="str">
        <f t="shared" si="6"/>
        <v>Critique</v>
      </c>
      <c r="X63" s="7" t="s">
        <v>297</v>
      </c>
      <c r="Y63" s="8" t="s">
        <v>298</v>
      </c>
      <c r="Z63" s="8" t="s">
        <v>202</v>
      </c>
      <c r="AA63" s="8" t="s">
        <v>163</v>
      </c>
      <c r="AB63" s="6">
        <v>2</v>
      </c>
      <c r="AC63" s="6">
        <v>5</v>
      </c>
      <c r="AD63">
        <f t="shared" si="7"/>
        <v>10</v>
      </c>
      <c r="AE63" s="14" t="str">
        <f t="shared" si="8"/>
        <v>Élevé</v>
      </c>
      <c r="AF63" t="s">
        <v>177</v>
      </c>
      <c r="AG63" s="14" t="str">
        <f t="shared" si="9"/>
        <v>Hors appétit</v>
      </c>
      <c r="AH63" t="s">
        <v>283</v>
      </c>
      <c r="AI63" s="2" t="s">
        <v>627</v>
      </c>
      <c r="AJ63" t="s">
        <v>620</v>
      </c>
      <c r="AK63" s="11">
        <v>46329</v>
      </c>
      <c r="AL63" t="s">
        <v>300</v>
      </c>
      <c r="AM63" s="11">
        <v>46070</v>
      </c>
      <c r="AN63" t="s">
        <v>202</v>
      </c>
      <c r="AO63" s="6">
        <v>2</v>
      </c>
      <c r="AP63" s="12">
        <v>425000</v>
      </c>
      <c r="AQ63" s="12">
        <v>6100</v>
      </c>
      <c r="AR63" s="2" t="s">
        <v>373</v>
      </c>
      <c r="AS63" s="2" t="s">
        <v>605</v>
      </c>
      <c r="AT63" s="2" t="s">
        <v>288</v>
      </c>
    </row>
    <row r="64" spans="1:46" ht="64" x14ac:dyDescent="0.2">
      <c r="A64" t="s">
        <v>628</v>
      </c>
      <c r="B64" t="s">
        <v>528</v>
      </c>
      <c r="C64" t="s">
        <v>592</v>
      </c>
      <c r="D64" t="s">
        <v>619</v>
      </c>
      <c r="E64" t="s">
        <v>594</v>
      </c>
      <c r="F64" t="s">
        <v>594</v>
      </c>
      <c r="G64" t="s">
        <v>620</v>
      </c>
      <c r="H64" t="s">
        <v>104</v>
      </c>
      <c r="I64" t="s">
        <v>107</v>
      </c>
      <c r="J64" s="2" t="s">
        <v>629</v>
      </c>
      <c r="K64" s="2" t="s">
        <v>597</v>
      </c>
      <c r="L64" s="2" t="s">
        <v>304</v>
      </c>
      <c r="M64" s="2" t="s">
        <v>305</v>
      </c>
      <c r="N64" s="4" t="s">
        <v>630</v>
      </c>
      <c r="O64" s="4" t="s">
        <v>296</v>
      </c>
      <c r="P64" s="5">
        <v>0</v>
      </c>
      <c r="Q64" s="5">
        <v>1</v>
      </c>
      <c r="R64" s="5">
        <v>3</v>
      </c>
      <c r="S64" s="5">
        <v>3</v>
      </c>
      <c r="T64" s="6">
        <v>3</v>
      </c>
      <c r="U64" s="6">
        <v>5</v>
      </c>
      <c r="V64">
        <f t="shared" si="5"/>
        <v>15</v>
      </c>
      <c r="W64" t="str">
        <f t="shared" si="6"/>
        <v>Critique</v>
      </c>
      <c r="X64" s="7" t="s">
        <v>307</v>
      </c>
      <c r="Y64" s="8" t="s">
        <v>157</v>
      </c>
      <c r="Z64" s="8" t="s">
        <v>160</v>
      </c>
      <c r="AA64" s="8" t="s">
        <v>163</v>
      </c>
      <c r="AB64" s="6">
        <v>2</v>
      </c>
      <c r="AC64" s="6">
        <v>5</v>
      </c>
      <c r="AD64">
        <f t="shared" si="7"/>
        <v>10</v>
      </c>
      <c r="AE64" s="14" t="str">
        <f t="shared" si="8"/>
        <v>Élevé</v>
      </c>
      <c r="AF64" t="s">
        <v>177</v>
      </c>
      <c r="AG64" s="14" t="str">
        <f t="shared" si="9"/>
        <v>Hors appétit</v>
      </c>
      <c r="AH64" t="s">
        <v>308</v>
      </c>
      <c r="AI64" s="2" t="s">
        <v>631</v>
      </c>
      <c r="AJ64" t="s">
        <v>620</v>
      </c>
      <c r="AK64" s="11">
        <v>46340</v>
      </c>
      <c r="AL64" t="s">
        <v>310</v>
      </c>
      <c r="AM64" s="11">
        <v>46064</v>
      </c>
      <c r="AN64" t="s">
        <v>202</v>
      </c>
      <c r="AO64" s="6">
        <v>2</v>
      </c>
      <c r="AP64" s="12">
        <v>610000</v>
      </c>
      <c r="AQ64" s="12">
        <v>6350</v>
      </c>
      <c r="AR64" s="15" t="s">
        <v>107</v>
      </c>
      <c r="AS64" s="2" t="s">
        <v>610</v>
      </c>
      <c r="AT64" s="2" t="s">
        <v>288</v>
      </c>
    </row>
    <row r="65" spans="1:46" ht="64" x14ac:dyDescent="0.2">
      <c r="A65" t="s">
        <v>632</v>
      </c>
      <c r="B65" t="s">
        <v>528</v>
      </c>
      <c r="C65" t="s">
        <v>592</v>
      </c>
      <c r="D65" t="s">
        <v>619</v>
      </c>
      <c r="E65" t="s">
        <v>594</v>
      </c>
      <c r="F65" t="s">
        <v>594</v>
      </c>
      <c r="G65" t="s">
        <v>620</v>
      </c>
      <c r="H65" t="s">
        <v>313</v>
      </c>
      <c r="I65" t="s">
        <v>314</v>
      </c>
      <c r="J65" s="2" t="s">
        <v>633</v>
      </c>
      <c r="K65" s="2" t="s">
        <v>597</v>
      </c>
      <c r="L65" s="2" t="s">
        <v>316</v>
      </c>
      <c r="M65" s="2" t="s">
        <v>613</v>
      </c>
      <c r="N65" s="4" t="s">
        <v>634</v>
      </c>
      <c r="O65" s="4" t="s">
        <v>296</v>
      </c>
      <c r="P65" s="5">
        <v>0</v>
      </c>
      <c r="Q65" s="5">
        <v>3</v>
      </c>
      <c r="R65" s="5">
        <v>6</v>
      </c>
      <c r="S65" s="5">
        <v>5</v>
      </c>
      <c r="T65" s="6">
        <v>3</v>
      </c>
      <c r="U65" s="6">
        <v>5</v>
      </c>
      <c r="V65">
        <f t="shared" si="5"/>
        <v>15</v>
      </c>
      <c r="W65" t="str">
        <f t="shared" si="6"/>
        <v>Critique</v>
      </c>
      <c r="X65" s="7" t="s">
        <v>319</v>
      </c>
      <c r="Y65" s="8" t="s">
        <v>320</v>
      </c>
      <c r="Z65" s="8" t="s">
        <v>160</v>
      </c>
      <c r="AA65" s="8" t="s">
        <v>163</v>
      </c>
      <c r="AB65" s="6">
        <v>2</v>
      </c>
      <c r="AC65" s="6">
        <v>5</v>
      </c>
      <c r="AD65">
        <f t="shared" si="7"/>
        <v>10</v>
      </c>
      <c r="AE65" s="14" t="str">
        <f t="shared" si="8"/>
        <v>Élevé</v>
      </c>
      <c r="AF65" t="s">
        <v>177</v>
      </c>
      <c r="AG65" s="14" t="str">
        <f t="shared" si="9"/>
        <v>Hors appétit</v>
      </c>
      <c r="AH65" t="s">
        <v>615</v>
      </c>
      <c r="AI65" s="2" t="s">
        <v>635</v>
      </c>
      <c r="AJ65" t="s">
        <v>620</v>
      </c>
      <c r="AK65" s="11">
        <v>46351</v>
      </c>
      <c r="AL65" t="s">
        <v>285</v>
      </c>
      <c r="AM65" s="11">
        <v>46058</v>
      </c>
      <c r="AN65" t="s">
        <v>202</v>
      </c>
      <c r="AO65" s="6">
        <v>2</v>
      </c>
      <c r="AP65" s="12">
        <v>626000</v>
      </c>
      <c r="AQ65" s="12">
        <v>6600</v>
      </c>
      <c r="AR65" s="2" t="s">
        <v>314</v>
      </c>
      <c r="AS65" s="2" t="s">
        <v>617</v>
      </c>
      <c r="AT65" s="2" t="s">
        <v>288</v>
      </c>
    </row>
    <row r="66" spans="1:46" ht="48" x14ac:dyDescent="0.2">
      <c r="A66" t="s">
        <v>636</v>
      </c>
      <c r="B66" t="s">
        <v>637</v>
      </c>
      <c r="C66" t="s">
        <v>638</v>
      </c>
      <c r="D66" t="s">
        <v>639</v>
      </c>
      <c r="E66" t="s">
        <v>640</v>
      </c>
      <c r="F66" t="s">
        <v>641</v>
      </c>
      <c r="G66" t="s">
        <v>642</v>
      </c>
      <c r="H66" t="s">
        <v>274</v>
      </c>
      <c r="I66" t="s">
        <v>275</v>
      </c>
      <c r="J66" s="2" t="s">
        <v>643</v>
      </c>
      <c r="K66" s="2" t="s">
        <v>644</v>
      </c>
      <c r="L66" s="2" t="s">
        <v>278</v>
      </c>
      <c r="M66" s="2" t="s">
        <v>279</v>
      </c>
      <c r="N66" s="4" t="s">
        <v>645</v>
      </c>
      <c r="O66" s="4" t="s">
        <v>281</v>
      </c>
      <c r="P66" s="5">
        <v>1</v>
      </c>
      <c r="Q66" s="5">
        <v>2.5</v>
      </c>
      <c r="R66" s="5">
        <v>4</v>
      </c>
      <c r="S66" s="5">
        <v>1.7</v>
      </c>
      <c r="T66" s="6">
        <v>3</v>
      </c>
      <c r="U66" s="6">
        <v>4</v>
      </c>
      <c r="V66">
        <f t="shared" ref="V66:V97" si="10">T66*U66</f>
        <v>12</v>
      </c>
      <c r="W66" t="str">
        <f t="shared" ref="W66:W97" si="11">IF(V66&gt;=15,"Critique",IF(V66&gt;=10,"Élevé",IF(V66&gt;=6,"Modéré","Faible")))</f>
        <v>Élevé</v>
      </c>
      <c r="X66" s="7" t="s">
        <v>282</v>
      </c>
      <c r="Y66" s="8" t="s">
        <v>157</v>
      </c>
      <c r="Z66" s="8" t="s">
        <v>160</v>
      </c>
      <c r="AA66" s="8" t="s">
        <v>163</v>
      </c>
      <c r="AB66" s="6">
        <v>2</v>
      </c>
      <c r="AC66" s="6">
        <v>4</v>
      </c>
      <c r="AD66">
        <f t="shared" ref="AD66:AD97" si="12">AB66*AC66</f>
        <v>8</v>
      </c>
      <c r="AE66" s="9" t="str">
        <f t="shared" ref="AE66:AE97" si="13">IF(AD66&gt;=15,"Critique",IF(AD66&gt;=10,"Élevé",IF(AD66&gt;=6,"Modéré","Faible")))</f>
        <v>Modéré</v>
      </c>
      <c r="AF66" t="s">
        <v>174</v>
      </c>
      <c r="AG66" s="10" t="str">
        <f t="shared" ref="AG66:AG97" si="14">IF(AD66&lt;=IF(AF66="Faible",6,IF(AF66="Modéré",9,12)),"Dans lappétit","Hors appétit")</f>
        <v>Dans lappétit</v>
      </c>
      <c r="AH66" t="s">
        <v>283</v>
      </c>
      <c r="AI66" s="2" t="s">
        <v>646</v>
      </c>
      <c r="AJ66" t="s">
        <v>642</v>
      </c>
      <c r="AK66" s="11">
        <v>46362</v>
      </c>
      <c r="AL66" t="s">
        <v>285</v>
      </c>
      <c r="AM66" s="11">
        <v>46052</v>
      </c>
      <c r="AN66" t="s">
        <v>286</v>
      </c>
      <c r="AO66" s="6">
        <v>3</v>
      </c>
      <c r="AP66" s="12">
        <v>354000</v>
      </c>
      <c r="AQ66" s="12">
        <v>6200</v>
      </c>
      <c r="AR66" s="2" t="s">
        <v>275</v>
      </c>
      <c r="AS66" s="2" t="s">
        <v>647</v>
      </c>
      <c r="AT66" s="2" t="s">
        <v>288</v>
      </c>
    </row>
    <row r="67" spans="1:46" ht="64" x14ac:dyDescent="0.2">
      <c r="A67" t="s">
        <v>648</v>
      </c>
      <c r="B67" t="s">
        <v>637</v>
      </c>
      <c r="C67" t="s">
        <v>638</v>
      </c>
      <c r="D67" t="s">
        <v>639</v>
      </c>
      <c r="E67" t="s">
        <v>640</v>
      </c>
      <c r="F67" t="s">
        <v>641</v>
      </c>
      <c r="G67" t="s">
        <v>642</v>
      </c>
      <c r="H67" t="s">
        <v>290</v>
      </c>
      <c r="I67" t="s">
        <v>373</v>
      </c>
      <c r="J67" s="2" t="s">
        <v>649</v>
      </c>
      <c r="K67" s="2" t="s">
        <v>644</v>
      </c>
      <c r="L67" s="2" t="s">
        <v>293</v>
      </c>
      <c r="M67" s="2" t="s">
        <v>294</v>
      </c>
      <c r="N67" s="4" t="s">
        <v>650</v>
      </c>
      <c r="O67" s="4" t="s">
        <v>296</v>
      </c>
      <c r="P67" s="5">
        <v>0</v>
      </c>
      <c r="Q67" s="5">
        <v>2</v>
      </c>
      <c r="R67" s="5">
        <v>4</v>
      </c>
      <c r="S67" s="5">
        <v>2</v>
      </c>
      <c r="T67" s="6">
        <v>3</v>
      </c>
      <c r="U67" s="6">
        <v>4</v>
      </c>
      <c r="V67">
        <f t="shared" si="10"/>
        <v>12</v>
      </c>
      <c r="W67" t="str">
        <f t="shared" si="11"/>
        <v>Élevé</v>
      </c>
      <c r="X67" s="7" t="s">
        <v>297</v>
      </c>
      <c r="Y67" s="8" t="s">
        <v>298</v>
      </c>
      <c r="Z67" s="8" t="s">
        <v>202</v>
      </c>
      <c r="AA67" s="8" t="s">
        <v>177</v>
      </c>
      <c r="AB67" s="6">
        <v>3</v>
      </c>
      <c r="AC67" s="6">
        <v>4</v>
      </c>
      <c r="AD67">
        <f t="shared" si="12"/>
        <v>12</v>
      </c>
      <c r="AE67" s="14" t="str">
        <f t="shared" si="13"/>
        <v>Élevé</v>
      </c>
      <c r="AF67" t="s">
        <v>177</v>
      </c>
      <c r="AG67" s="14" t="str">
        <f t="shared" si="14"/>
        <v>Hors appétit</v>
      </c>
      <c r="AH67" t="s">
        <v>283</v>
      </c>
      <c r="AI67" s="2" t="s">
        <v>651</v>
      </c>
      <c r="AJ67" t="s">
        <v>642</v>
      </c>
      <c r="AK67" s="11">
        <v>46133</v>
      </c>
      <c r="AL67" t="s">
        <v>196</v>
      </c>
      <c r="AM67" s="11">
        <v>46046</v>
      </c>
      <c r="AN67" t="s">
        <v>202</v>
      </c>
      <c r="AO67" s="6">
        <v>2</v>
      </c>
      <c r="AP67" s="12">
        <v>365000</v>
      </c>
      <c r="AQ67" s="12">
        <v>6450</v>
      </c>
      <c r="AR67" s="2" t="s">
        <v>373</v>
      </c>
      <c r="AS67" s="2" t="s">
        <v>652</v>
      </c>
      <c r="AT67" s="2" t="s">
        <v>288</v>
      </c>
    </row>
    <row r="68" spans="1:46" ht="64" x14ac:dyDescent="0.2">
      <c r="A68" t="s">
        <v>653</v>
      </c>
      <c r="B68" t="s">
        <v>637</v>
      </c>
      <c r="C68" t="s">
        <v>638</v>
      </c>
      <c r="D68" t="s">
        <v>639</v>
      </c>
      <c r="E68" t="s">
        <v>640</v>
      </c>
      <c r="F68" t="s">
        <v>641</v>
      </c>
      <c r="G68" t="s">
        <v>642</v>
      </c>
      <c r="H68" t="s">
        <v>104</v>
      </c>
      <c r="I68" t="s">
        <v>107</v>
      </c>
      <c r="J68" s="2" t="s">
        <v>654</v>
      </c>
      <c r="K68" s="2" t="s">
        <v>644</v>
      </c>
      <c r="L68" s="2" t="s">
        <v>304</v>
      </c>
      <c r="M68" s="2" t="s">
        <v>305</v>
      </c>
      <c r="N68" s="4" t="s">
        <v>655</v>
      </c>
      <c r="O68" s="4" t="s">
        <v>296</v>
      </c>
      <c r="P68" s="5">
        <v>0</v>
      </c>
      <c r="Q68" s="5">
        <v>1</v>
      </c>
      <c r="R68" s="5">
        <v>3</v>
      </c>
      <c r="S68" s="5">
        <v>2</v>
      </c>
      <c r="T68" s="6">
        <v>3</v>
      </c>
      <c r="U68" s="6">
        <v>4</v>
      </c>
      <c r="V68">
        <f t="shared" si="10"/>
        <v>12</v>
      </c>
      <c r="W68" t="str">
        <f t="shared" si="11"/>
        <v>Élevé</v>
      </c>
      <c r="X68" s="7" t="s">
        <v>307</v>
      </c>
      <c r="Y68" s="8" t="s">
        <v>157</v>
      </c>
      <c r="Z68" s="8" t="s">
        <v>160</v>
      </c>
      <c r="AA68" s="8" t="s">
        <v>163</v>
      </c>
      <c r="AB68" s="6">
        <v>2</v>
      </c>
      <c r="AC68" s="6">
        <v>4</v>
      </c>
      <c r="AD68">
        <f t="shared" si="12"/>
        <v>8</v>
      </c>
      <c r="AE68" s="9" t="str">
        <f t="shared" si="13"/>
        <v>Modéré</v>
      </c>
      <c r="AF68" t="s">
        <v>177</v>
      </c>
      <c r="AG68" s="14" t="str">
        <f t="shared" si="14"/>
        <v>Hors appétit</v>
      </c>
      <c r="AH68" t="s">
        <v>283</v>
      </c>
      <c r="AI68" s="2" t="s">
        <v>656</v>
      </c>
      <c r="AJ68" t="s">
        <v>642</v>
      </c>
      <c r="AK68" s="11">
        <v>46144</v>
      </c>
      <c r="AL68" t="s">
        <v>300</v>
      </c>
      <c r="AM68" s="11">
        <v>46040</v>
      </c>
      <c r="AN68" t="s">
        <v>286</v>
      </c>
      <c r="AO68" s="6">
        <v>2</v>
      </c>
      <c r="AP68" s="12">
        <v>526000</v>
      </c>
      <c r="AQ68" s="12">
        <v>6700</v>
      </c>
      <c r="AR68" s="15" t="s">
        <v>107</v>
      </c>
      <c r="AS68" s="2" t="s">
        <v>657</v>
      </c>
      <c r="AT68" s="2" t="s">
        <v>288</v>
      </c>
    </row>
    <row r="69" spans="1:46" ht="64" x14ac:dyDescent="0.2">
      <c r="A69" t="s">
        <v>658</v>
      </c>
      <c r="B69" t="s">
        <v>637</v>
      </c>
      <c r="C69" t="s">
        <v>638</v>
      </c>
      <c r="D69" t="s">
        <v>639</v>
      </c>
      <c r="E69" t="s">
        <v>640</v>
      </c>
      <c r="F69" t="s">
        <v>641</v>
      </c>
      <c r="G69" t="s">
        <v>642</v>
      </c>
      <c r="H69" t="s">
        <v>313</v>
      </c>
      <c r="I69" t="s">
        <v>314</v>
      </c>
      <c r="J69" s="2" t="s">
        <v>659</v>
      </c>
      <c r="K69" s="2" t="s">
        <v>644</v>
      </c>
      <c r="L69" s="2" t="s">
        <v>316</v>
      </c>
      <c r="M69" s="2" t="s">
        <v>660</v>
      </c>
      <c r="N69" s="4" t="s">
        <v>661</v>
      </c>
      <c r="O69" s="4" t="s">
        <v>296</v>
      </c>
      <c r="P69" s="5">
        <v>0</v>
      </c>
      <c r="Q69" s="5">
        <v>3</v>
      </c>
      <c r="R69" s="5">
        <v>6</v>
      </c>
      <c r="S69" s="5">
        <v>5</v>
      </c>
      <c r="T69" s="6">
        <v>3</v>
      </c>
      <c r="U69" s="6">
        <v>4</v>
      </c>
      <c r="V69">
        <f t="shared" si="10"/>
        <v>12</v>
      </c>
      <c r="W69" t="str">
        <f t="shared" si="11"/>
        <v>Élevé</v>
      </c>
      <c r="X69" s="7" t="s">
        <v>319</v>
      </c>
      <c r="Y69" s="8" t="s">
        <v>320</v>
      </c>
      <c r="Z69" s="8" t="s">
        <v>160</v>
      </c>
      <c r="AA69" s="8" t="s">
        <v>321</v>
      </c>
      <c r="AB69" s="6">
        <v>2</v>
      </c>
      <c r="AC69" s="6">
        <v>3</v>
      </c>
      <c r="AD69">
        <f t="shared" si="12"/>
        <v>6</v>
      </c>
      <c r="AE69" s="9" t="str">
        <f t="shared" si="13"/>
        <v>Modéré</v>
      </c>
      <c r="AF69" t="s">
        <v>177</v>
      </c>
      <c r="AG69" s="10" t="str">
        <f t="shared" si="14"/>
        <v>Dans lappétit</v>
      </c>
      <c r="AH69" t="s">
        <v>322</v>
      </c>
      <c r="AI69" s="2" t="s">
        <v>662</v>
      </c>
      <c r="AJ69" t="s">
        <v>642</v>
      </c>
      <c r="AK69" s="11">
        <v>46155</v>
      </c>
      <c r="AL69" t="s">
        <v>310</v>
      </c>
      <c r="AM69" s="11">
        <v>46034</v>
      </c>
      <c r="AN69" t="s">
        <v>286</v>
      </c>
      <c r="AO69" s="6">
        <v>1</v>
      </c>
      <c r="AP69" s="12">
        <v>542000</v>
      </c>
      <c r="AQ69" s="12">
        <v>6950</v>
      </c>
      <c r="AR69" s="2" t="s">
        <v>314</v>
      </c>
      <c r="AS69" s="2" t="s">
        <v>663</v>
      </c>
      <c r="AT69" s="2" t="s">
        <v>288</v>
      </c>
    </row>
    <row r="70" spans="1:46" ht="64" x14ac:dyDescent="0.2">
      <c r="A70" t="s">
        <v>664</v>
      </c>
      <c r="B70" t="s">
        <v>637</v>
      </c>
      <c r="C70" t="s">
        <v>638</v>
      </c>
      <c r="D70" t="s">
        <v>665</v>
      </c>
      <c r="E70" t="s">
        <v>640</v>
      </c>
      <c r="F70" t="s">
        <v>641</v>
      </c>
      <c r="G70" t="s">
        <v>666</v>
      </c>
      <c r="H70" t="s">
        <v>274</v>
      </c>
      <c r="I70" t="s">
        <v>275</v>
      </c>
      <c r="J70" s="2" t="s">
        <v>667</v>
      </c>
      <c r="K70" s="2" t="s">
        <v>644</v>
      </c>
      <c r="L70" s="2" t="s">
        <v>278</v>
      </c>
      <c r="M70" s="2" t="s">
        <v>279</v>
      </c>
      <c r="N70" s="4" t="s">
        <v>668</v>
      </c>
      <c r="O70" s="4" t="s">
        <v>281</v>
      </c>
      <c r="P70" s="5">
        <v>1</v>
      </c>
      <c r="Q70" s="5">
        <v>2.5</v>
      </c>
      <c r="R70" s="5">
        <v>4</v>
      </c>
      <c r="S70" s="5">
        <v>3.2</v>
      </c>
      <c r="T70" s="6">
        <v>4</v>
      </c>
      <c r="U70" s="6">
        <v>3</v>
      </c>
      <c r="V70">
        <f t="shared" si="10"/>
        <v>12</v>
      </c>
      <c r="W70" t="str">
        <f t="shared" si="11"/>
        <v>Élevé</v>
      </c>
      <c r="X70" s="7" t="s">
        <v>282</v>
      </c>
      <c r="Y70" s="8" t="s">
        <v>157</v>
      </c>
      <c r="Z70" s="8" t="s">
        <v>160</v>
      </c>
      <c r="AA70" s="8" t="s">
        <v>177</v>
      </c>
      <c r="AB70" s="6">
        <v>4</v>
      </c>
      <c r="AC70" s="6">
        <v>3</v>
      </c>
      <c r="AD70">
        <f t="shared" si="12"/>
        <v>12</v>
      </c>
      <c r="AE70" s="14" t="str">
        <f t="shared" si="13"/>
        <v>Élevé</v>
      </c>
      <c r="AF70" t="s">
        <v>174</v>
      </c>
      <c r="AG70" s="14" t="str">
        <f t="shared" si="14"/>
        <v>Hors appétit</v>
      </c>
      <c r="AH70" t="s">
        <v>283</v>
      </c>
      <c r="AI70" s="2" t="s">
        <v>669</v>
      </c>
      <c r="AJ70" t="s">
        <v>666</v>
      </c>
      <c r="AK70" s="11">
        <v>46166</v>
      </c>
      <c r="AL70" t="s">
        <v>285</v>
      </c>
      <c r="AM70" s="11">
        <v>46028</v>
      </c>
      <c r="AN70" t="s">
        <v>202</v>
      </c>
      <c r="AO70" s="6">
        <v>4</v>
      </c>
      <c r="AP70" s="12">
        <v>363000</v>
      </c>
      <c r="AQ70" s="12">
        <v>6550</v>
      </c>
      <c r="AR70" s="2" t="s">
        <v>275</v>
      </c>
      <c r="AS70" s="2" t="s">
        <v>647</v>
      </c>
      <c r="AT70" s="2" t="s">
        <v>288</v>
      </c>
    </row>
    <row r="71" spans="1:46" ht="64" x14ac:dyDescent="0.2">
      <c r="A71" t="s">
        <v>670</v>
      </c>
      <c r="B71" t="s">
        <v>637</v>
      </c>
      <c r="C71" t="s">
        <v>638</v>
      </c>
      <c r="D71" t="s">
        <v>665</v>
      </c>
      <c r="E71" t="s">
        <v>640</v>
      </c>
      <c r="F71" t="s">
        <v>641</v>
      </c>
      <c r="G71" t="s">
        <v>666</v>
      </c>
      <c r="H71" t="s">
        <v>290</v>
      </c>
      <c r="I71" t="s">
        <v>373</v>
      </c>
      <c r="J71" s="2" t="s">
        <v>671</v>
      </c>
      <c r="K71" s="2" t="s">
        <v>644</v>
      </c>
      <c r="L71" s="2" t="s">
        <v>293</v>
      </c>
      <c r="M71" s="2" t="s">
        <v>294</v>
      </c>
      <c r="N71" s="4" t="s">
        <v>672</v>
      </c>
      <c r="O71" s="4" t="s">
        <v>296</v>
      </c>
      <c r="P71" s="5">
        <v>0</v>
      </c>
      <c r="Q71" s="5">
        <v>2</v>
      </c>
      <c r="R71" s="5">
        <v>4</v>
      </c>
      <c r="S71" s="5">
        <v>2</v>
      </c>
      <c r="T71" s="6">
        <v>3</v>
      </c>
      <c r="U71" s="6">
        <v>4</v>
      </c>
      <c r="V71">
        <f t="shared" si="10"/>
        <v>12</v>
      </c>
      <c r="W71" t="str">
        <f t="shared" si="11"/>
        <v>Élevé</v>
      </c>
      <c r="X71" s="7" t="s">
        <v>297</v>
      </c>
      <c r="Y71" s="8" t="s">
        <v>298</v>
      </c>
      <c r="Z71" s="8" t="s">
        <v>202</v>
      </c>
      <c r="AA71" s="8" t="s">
        <v>163</v>
      </c>
      <c r="AB71" s="6">
        <v>2</v>
      </c>
      <c r="AC71" s="6">
        <v>4</v>
      </c>
      <c r="AD71">
        <f t="shared" si="12"/>
        <v>8</v>
      </c>
      <c r="AE71" s="9" t="str">
        <f t="shared" si="13"/>
        <v>Modéré</v>
      </c>
      <c r="AF71" t="s">
        <v>177</v>
      </c>
      <c r="AG71" s="14" t="str">
        <f t="shared" si="14"/>
        <v>Hors appétit</v>
      </c>
      <c r="AH71" t="s">
        <v>283</v>
      </c>
      <c r="AI71" s="2" t="s">
        <v>673</v>
      </c>
      <c r="AJ71" t="s">
        <v>666</v>
      </c>
      <c r="AK71" s="11">
        <v>46177</v>
      </c>
      <c r="AL71" t="s">
        <v>196</v>
      </c>
      <c r="AM71" s="11">
        <v>46022</v>
      </c>
      <c r="AN71" t="s">
        <v>286</v>
      </c>
      <c r="AO71" s="6">
        <v>2</v>
      </c>
      <c r="AP71" s="12">
        <v>374000</v>
      </c>
      <c r="AQ71" s="12">
        <v>6800</v>
      </c>
      <c r="AR71" s="2" t="s">
        <v>373</v>
      </c>
      <c r="AS71" s="2" t="s">
        <v>652</v>
      </c>
      <c r="AT71" s="2" t="s">
        <v>288</v>
      </c>
    </row>
    <row r="72" spans="1:46" ht="64" x14ac:dyDescent="0.2">
      <c r="A72" t="s">
        <v>674</v>
      </c>
      <c r="B72" t="s">
        <v>637</v>
      </c>
      <c r="C72" t="s">
        <v>638</v>
      </c>
      <c r="D72" t="s">
        <v>665</v>
      </c>
      <c r="E72" t="s">
        <v>640</v>
      </c>
      <c r="F72" t="s">
        <v>641</v>
      </c>
      <c r="G72" t="s">
        <v>666</v>
      </c>
      <c r="H72" t="s">
        <v>104</v>
      </c>
      <c r="I72" t="s">
        <v>107</v>
      </c>
      <c r="J72" s="2" t="s">
        <v>675</v>
      </c>
      <c r="K72" s="2" t="s">
        <v>644</v>
      </c>
      <c r="L72" s="2" t="s">
        <v>304</v>
      </c>
      <c r="M72" s="2" t="s">
        <v>305</v>
      </c>
      <c r="N72" s="4" t="s">
        <v>676</v>
      </c>
      <c r="O72" s="4" t="s">
        <v>296</v>
      </c>
      <c r="P72" s="5">
        <v>0</v>
      </c>
      <c r="Q72" s="5">
        <v>1</v>
      </c>
      <c r="R72" s="5">
        <v>3</v>
      </c>
      <c r="S72" s="5">
        <v>1</v>
      </c>
      <c r="T72" s="6">
        <v>3</v>
      </c>
      <c r="U72" s="6">
        <v>5</v>
      </c>
      <c r="V72">
        <f t="shared" si="10"/>
        <v>15</v>
      </c>
      <c r="W72" t="str">
        <f t="shared" si="11"/>
        <v>Critique</v>
      </c>
      <c r="X72" s="7" t="s">
        <v>307</v>
      </c>
      <c r="Y72" s="8" t="s">
        <v>157</v>
      </c>
      <c r="Z72" s="8" t="s">
        <v>160</v>
      </c>
      <c r="AA72" s="8" t="s">
        <v>163</v>
      </c>
      <c r="AB72" s="6">
        <v>2</v>
      </c>
      <c r="AC72" s="6">
        <v>5</v>
      </c>
      <c r="AD72">
        <f t="shared" si="12"/>
        <v>10</v>
      </c>
      <c r="AE72" s="14" t="str">
        <f t="shared" si="13"/>
        <v>Élevé</v>
      </c>
      <c r="AF72" t="s">
        <v>177</v>
      </c>
      <c r="AG72" s="14" t="str">
        <f t="shared" si="14"/>
        <v>Hors appétit</v>
      </c>
      <c r="AH72" t="s">
        <v>308</v>
      </c>
      <c r="AI72" s="2" t="s">
        <v>677</v>
      </c>
      <c r="AJ72" t="s">
        <v>666</v>
      </c>
      <c r="AK72" s="11">
        <v>46188</v>
      </c>
      <c r="AL72" t="s">
        <v>310</v>
      </c>
      <c r="AM72" s="11">
        <v>46016</v>
      </c>
      <c r="AN72" t="s">
        <v>202</v>
      </c>
      <c r="AO72" s="6">
        <v>2</v>
      </c>
      <c r="AP72" s="12">
        <v>631000</v>
      </c>
      <c r="AQ72" s="12">
        <v>7050</v>
      </c>
      <c r="AR72" s="15" t="s">
        <v>107</v>
      </c>
      <c r="AS72" s="2" t="s">
        <v>657</v>
      </c>
      <c r="AT72" s="2" t="s">
        <v>288</v>
      </c>
    </row>
    <row r="73" spans="1:46" ht="64" x14ac:dyDescent="0.2">
      <c r="A73" t="s">
        <v>678</v>
      </c>
      <c r="B73" t="s">
        <v>637</v>
      </c>
      <c r="C73" t="s">
        <v>638</v>
      </c>
      <c r="D73" t="s">
        <v>665</v>
      </c>
      <c r="E73" t="s">
        <v>640</v>
      </c>
      <c r="F73" t="s">
        <v>641</v>
      </c>
      <c r="G73" t="s">
        <v>666</v>
      </c>
      <c r="H73" t="s">
        <v>313</v>
      </c>
      <c r="I73" t="s">
        <v>314</v>
      </c>
      <c r="J73" s="2" t="s">
        <v>679</v>
      </c>
      <c r="K73" s="2" t="s">
        <v>644</v>
      </c>
      <c r="L73" s="2" t="s">
        <v>316</v>
      </c>
      <c r="M73" s="2" t="s">
        <v>660</v>
      </c>
      <c r="N73" s="4" t="s">
        <v>680</v>
      </c>
      <c r="O73" s="4" t="s">
        <v>296</v>
      </c>
      <c r="P73" s="5">
        <v>0</v>
      </c>
      <c r="Q73" s="5">
        <v>3</v>
      </c>
      <c r="R73" s="5">
        <v>6</v>
      </c>
      <c r="S73" s="5">
        <v>4</v>
      </c>
      <c r="T73" s="6">
        <v>3</v>
      </c>
      <c r="U73" s="6">
        <v>4</v>
      </c>
      <c r="V73">
        <f t="shared" si="10"/>
        <v>12</v>
      </c>
      <c r="W73" t="str">
        <f t="shared" si="11"/>
        <v>Élevé</v>
      </c>
      <c r="X73" s="7" t="s">
        <v>319</v>
      </c>
      <c r="Y73" s="8" t="s">
        <v>320</v>
      </c>
      <c r="Z73" s="8" t="s">
        <v>160</v>
      </c>
      <c r="AA73" s="8" t="s">
        <v>163</v>
      </c>
      <c r="AB73" s="6">
        <v>2</v>
      </c>
      <c r="AC73" s="6">
        <v>4</v>
      </c>
      <c r="AD73">
        <f t="shared" si="12"/>
        <v>8</v>
      </c>
      <c r="AE73" s="9" t="str">
        <f t="shared" si="13"/>
        <v>Modéré</v>
      </c>
      <c r="AF73" t="s">
        <v>177</v>
      </c>
      <c r="AG73" s="14" t="str">
        <f t="shared" si="14"/>
        <v>Hors appétit</v>
      </c>
      <c r="AH73" t="s">
        <v>283</v>
      </c>
      <c r="AI73" s="2" t="s">
        <v>681</v>
      </c>
      <c r="AJ73" t="s">
        <v>666</v>
      </c>
      <c r="AK73" s="11">
        <v>46199</v>
      </c>
      <c r="AL73" t="s">
        <v>310</v>
      </c>
      <c r="AM73" s="11">
        <v>46010</v>
      </c>
      <c r="AN73" t="s">
        <v>286</v>
      </c>
      <c r="AO73" s="6">
        <v>2</v>
      </c>
      <c r="AP73" s="12">
        <v>554000</v>
      </c>
      <c r="AQ73" s="12">
        <v>7300</v>
      </c>
      <c r="AR73" s="2" t="s">
        <v>314</v>
      </c>
      <c r="AS73" s="2" t="s">
        <v>663</v>
      </c>
      <c r="AT73" s="2" t="s">
        <v>288</v>
      </c>
    </row>
    <row r="74" spans="1:46" ht="48" x14ac:dyDescent="0.2">
      <c r="A74" t="s">
        <v>682</v>
      </c>
      <c r="B74" t="s">
        <v>637</v>
      </c>
      <c r="C74" t="s">
        <v>638</v>
      </c>
      <c r="D74" t="s">
        <v>683</v>
      </c>
      <c r="E74" t="s">
        <v>640</v>
      </c>
      <c r="F74" t="s">
        <v>641</v>
      </c>
      <c r="G74" t="s">
        <v>684</v>
      </c>
      <c r="H74" t="s">
        <v>274</v>
      </c>
      <c r="I74" t="s">
        <v>275</v>
      </c>
      <c r="J74" s="2" t="s">
        <v>685</v>
      </c>
      <c r="K74" s="2" t="s">
        <v>644</v>
      </c>
      <c r="L74" s="2" t="s">
        <v>278</v>
      </c>
      <c r="M74" s="2" t="s">
        <v>279</v>
      </c>
      <c r="N74" s="4" t="s">
        <v>686</v>
      </c>
      <c r="O74" s="4" t="s">
        <v>281</v>
      </c>
      <c r="P74" s="5">
        <v>1</v>
      </c>
      <c r="Q74" s="5">
        <v>2.5</v>
      </c>
      <c r="R74" s="5">
        <v>4</v>
      </c>
      <c r="S74" s="5">
        <v>2.5</v>
      </c>
      <c r="T74" s="6">
        <v>4</v>
      </c>
      <c r="U74" s="6">
        <v>4</v>
      </c>
      <c r="V74">
        <f t="shared" si="10"/>
        <v>16</v>
      </c>
      <c r="W74" t="str">
        <f t="shared" si="11"/>
        <v>Critique</v>
      </c>
      <c r="X74" s="7" t="s">
        <v>282</v>
      </c>
      <c r="Y74" s="8" t="s">
        <v>157</v>
      </c>
      <c r="Z74" s="8" t="s">
        <v>160</v>
      </c>
      <c r="AA74" s="8" t="s">
        <v>321</v>
      </c>
      <c r="AB74" s="6">
        <v>2</v>
      </c>
      <c r="AC74" s="6">
        <v>3</v>
      </c>
      <c r="AD74">
        <f t="shared" si="12"/>
        <v>6</v>
      </c>
      <c r="AE74" s="9" t="str">
        <f t="shared" si="13"/>
        <v>Modéré</v>
      </c>
      <c r="AF74" t="s">
        <v>174</v>
      </c>
      <c r="AG74" s="10" t="str">
        <f t="shared" si="14"/>
        <v>Dans lappétit</v>
      </c>
      <c r="AH74" t="s">
        <v>322</v>
      </c>
      <c r="AI74" s="2" t="s">
        <v>687</v>
      </c>
      <c r="AJ74" t="s">
        <v>684</v>
      </c>
      <c r="AK74" s="11">
        <v>46210</v>
      </c>
      <c r="AL74" t="s">
        <v>196</v>
      </c>
      <c r="AM74" s="11">
        <v>46004</v>
      </c>
      <c r="AN74" t="s">
        <v>286</v>
      </c>
      <c r="AO74" s="6">
        <v>3</v>
      </c>
      <c r="AP74" s="12">
        <v>460000</v>
      </c>
      <c r="AQ74" s="12">
        <v>6900</v>
      </c>
      <c r="AR74" s="2" t="s">
        <v>275</v>
      </c>
      <c r="AS74" s="2" t="s">
        <v>647</v>
      </c>
      <c r="AT74" s="2" t="s">
        <v>288</v>
      </c>
    </row>
    <row r="75" spans="1:46" ht="64" x14ac:dyDescent="0.2">
      <c r="A75" t="s">
        <v>688</v>
      </c>
      <c r="B75" t="s">
        <v>637</v>
      </c>
      <c r="C75" t="s">
        <v>638</v>
      </c>
      <c r="D75" t="s">
        <v>683</v>
      </c>
      <c r="E75" t="s">
        <v>640</v>
      </c>
      <c r="F75" t="s">
        <v>641</v>
      </c>
      <c r="G75" t="s">
        <v>684</v>
      </c>
      <c r="H75" t="s">
        <v>290</v>
      </c>
      <c r="I75" t="s">
        <v>373</v>
      </c>
      <c r="J75" s="2" t="s">
        <v>689</v>
      </c>
      <c r="K75" s="2" t="s">
        <v>644</v>
      </c>
      <c r="L75" s="2" t="s">
        <v>293</v>
      </c>
      <c r="M75" s="2" t="s">
        <v>294</v>
      </c>
      <c r="N75" s="4" t="s">
        <v>690</v>
      </c>
      <c r="O75" s="4" t="s">
        <v>296</v>
      </c>
      <c r="P75" s="5">
        <v>0</v>
      </c>
      <c r="Q75" s="5">
        <v>2</v>
      </c>
      <c r="R75" s="5">
        <v>4</v>
      </c>
      <c r="S75" s="5">
        <v>4</v>
      </c>
      <c r="T75" s="6">
        <v>3</v>
      </c>
      <c r="U75" s="6">
        <v>4</v>
      </c>
      <c r="V75">
        <f t="shared" si="10"/>
        <v>12</v>
      </c>
      <c r="W75" t="str">
        <f t="shared" si="11"/>
        <v>Élevé</v>
      </c>
      <c r="X75" s="7" t="s">
        <v>297</v>
      </c>
      <c r="Y75" s="8" t="s">
        <v>298</v>
      </c>
      <c r="Z75" s="8" t="s">
        <v>202</v>
      </c>
      <c r="AA75" s="8" t="s">
        <v>321</v>
      </c>
      <c r="AB75" s="6">
        <v>2</v>
      </c>
      <c r="AC75" s="6">
        <v>3</v>
      </c>
      <c r="AD75">
        <f t="shared" si="12"/>
        <v>6</v>
      </c>
      <c r="AE75" s="9" t="str">
        <f t="shared" si="13"/>
        <v>Modéré</v>
      </c>
      <c r="AF75" t="s">
        <v>177</v>
      </c>
      <c r="AG75" s="10" t="str">
        <f t="shared" si="14"/>
        <v>Dans lappétit</v>
      </c>
      <c r="AH75" t="s">
        <v>322</v>
      </c>
      <c r="AI75" s="2" t="s">
        <v>691</v>
      </c>
      <c r="AJ75" t="s">
        <v>684</v>
      </c>
      <c r="AK75" s="11">
        <v>46221</v>
      </c>
      <c r="AL75" t="s">
        <v>196</v>
      </c>
      <c r="AM75" s="11">
        <v>45998</v>
      </c>
      <c r="AN75" t="s">
        <v>286</v>
      </c>
      <c r="AO75" s="6">
        <v>1</v>
      </c>
      <c r="AP75" s="12">
        <v>383000</v>
      </c>
      <c r="AQ75" s="12">
        <v>7150</v>
      </c>
      <c r="AR75" s="2" t="s">
        <v>373</v>
      </c>
      <c r="AS75" s="2" t="s">
        <v>652</v>
      </c>
      <c r="AT75" s="2" t="s">
        <v>288</v>
      </c>
    </row>
    <row r="76" spans="1:46" ht="64" x14ac:dyDescent="0.2">
      <c r="A76" t="s">
        <v>692</v>
      </c>
      <c r="B76" t="s">
        <v>637</v>
      </c>
      <c r="C76" t="s">
        <v>638</v>
      </c>
      <c r="D76" t="s">
        <v>683</v>
      </c>
      <c r="E76" t="s">
        <v>640</v>
      </c>
      <c r="F76" t="s">
        <v>641</v>
      </c>
      <c r="G76" t="s">
        <v>684</v>
      </c>
      <c r="H76" t="s">
        <v>104</v>
      </c>
      <c r="I76" t="s">
        <v>107</v>
      </c>
      <c r="J76" s="2" t="s">
        <v>693</v>
      </c>
      <c r="K76" s="2" t="s">
        <v>644</v>
      </c>
      <c r="L76" s="2" t="s">
        <v>304</v>
      </c>
      <c r="M76" s="2" t="s">
        <v>305</v>
      </c>
      <c r="N76" s="4" t="s">
        <v>694</v>
      </c>
      <c r="O76" s="4" t="s">
        <v>296</v>
      </c>
      <c r="P76" s="5">
        <v>0</v>
      </c>
      <c r="Q76" s="5">
        <v>1</v>
      </c>
      <c r="R76" s="5">
        <v>3</v>
      </c>
      <c r="S76" s="5">
        <v>1</v>
      </c>
      <c r="T76" s="6">
        <v>4</v>
      </c>
      <c r="U76" s="6">
        <v>4</v>
      </c>
      <c r="V76">
        <f t="shared" si="10"/>
        <v>16</v>
      </c>
      <c r="W76" t="str">
        <f t="shared" si="11"/>
        <v>Critique</v>
      </c>
      <c r="X76" s="7" t="s">
        <v>307</v>
      </c>
      <c r="Y76" s="8" t="s">
        <v>157</v>
      </c>
      <c r="Z76" s="8" t="s">
        <v>160</v>
      </c>
      <c r="AA76" s="8" t="s">
        <v>177</v>
      </c>
      <c r="AB76" s="6">
        <v>4</v>
      </c>
      <c r="AC76" s="6">
        <v>4</v>
      </c>
      <c r="AD76">
        <f t="shared" si="12"/>
        <v>16</v>
      </c>
      <c r="AE76" s="13" t="str">
        <f t="shared" si="13"/>
        <v>Critique</v>
      </c>
      <c r="AF76" t="s">
        <v>177</v>
      </c>
      <c r="AG76" s="14" t="str">
        <f t="shared" si="14"/>
        <v>Hors appétit</v>
      </c>
      <c r="AH76" t="s">
        <v>308</v>
      </c>
      <c r="AI76" s="2" t="s">
        <v>695</v>
      </c>
      <c r="AJ76" t="s">
        <v>684</v>
      </c>
      <c r="AK76" s="11">
        <v>46232</v>
      </c>
      <c r="AL76" t="s">
        <v>310</v>
      </c>
      <c r="AM76" s="11">
        <v>45992</v>
      </c>
      <c r="AN76" t="s">
        <v>160</v>
      </c>
      <c r="AO76" s="6">
        <v>3</v>
      </c>
      <c r="AP76" s="12">
        <v>675000</v>
      </c>
      <c r="AQ76" s="12">
        <v>7400</v>
      </c>
      <c r="AR76" s="15" t="s">
        <v>107</v>
      </c>
      <c r="AS76" s="2" t="s">
        <v>657</v>
      </c>
      <c r="AT76" s="2" t="s">
        <v>288</v>
      </c>
    </row>
    <row r="77" spans="1:46" ht="64" x14ac:dyDescent="0.2">
      <c r="A77" t="s">
        <v>696</v>
      </c>
      <c r="B77" t="s">
        <v>637</v>
      </c>
      <c r="C77" t="s">
        <v>638</v>
      </c>
      <c r="D77" t="s">
        <v>683</v>
      </c>
      <c r="E77" t="s">
        <v>640</v>
      </c>
      <c r="F77" t="s">
        <v>641</v>
      </c>
      <c r="G77" t="s">
        <v>684</v>
      </c>
      <c r="H77" t="s">
        <v>313</v>
      </c>
      <c r="I77" t="s">
        <v>314</v>
      </c>
      <c r="J77" s="2" t="s">
        <v>697</v>
      </c>
      <c r="K77" s="2" t="s">
        <v>644</v>
      </c>
      <c r="L77" s="2" t="s">
        <v>316</v>
      </c>
      <c r="M77" s="2" t="s">
        <v>660</v>
      </c>
      <c r="N77" s="4" t="s">
        <v>698</v>
      </c>
      <c r="O77" s="4" t="s">
        <v>296</v>
      </c>
      <c r="P77" s="5">
        <v>0</v>
      </c>
      <c r="Q77" s="5">
        <v>3</v>
      </c>
      <c r="R77" s="5">
        <v>6</v>
      </c>
      <c r="S77" s="5">
        <v>3</v>
      </c>
      <c r="T77" s="6">
        <v>3</v>
      </c>
      <c r="U77" s="6">
        <v>4</v>
      </c>
      <c r="V77">
        <f t="shared" si="10"/>
        <v>12</v>
      </c>
      <c r="W77" t="str">
        <f t="shared" si="11"/>
        <v>Élevé</v>
      </c>
      <c r="X77" s="7" t="s">
        <v>319</v>
      </c>
      <c r="Y77" s="8" t="s">
        <v>320</v>
      </c>
      <c r="Z77" s="8" t="s">
        <v>160</v>
      </c>
      <c r="AA77" s="8" t="s">
        <v>177</v>
      </c>
      <c r="AB77" s="6">
        <v>3</v>
      </c>
      <c r="AC77" s="6">
        <v>4</v>
      </c>
      <c r="AD77">
        <f t="shared" si="12"/>
        <v>12</v>
      </c>
      <c r="AE77" s="14" t="str">
        <f t="shared" si="13"/>
        <v>Élevé</v>
      </c>
      <c r="AF77" t="s">
        <v>177</v>
      </c>
      <c r="AG77" s="14" t="str">
        <f t="shared" si="14"/>
        <v>Hors appétit</v>
      </c>
      <c r="AH77" t="s">
        <v>283</v>
      </c>
      <c r="AI77" s="2" t="s">
        <v>699</v>
      </c>
      <c r="AJ77" t="s">
        <v>684</v>
      </c>
      <c r="AK77" s="11">
        <v>46243</v>
      </c>
      <c r="AL77" t="s">
        <v>310</v>
      </c>
      <c r="AM77" s="11">
        <v>45986</v>
      </c>
      <c r="AN77" t="s">
        <v>202</v>
      </c>
      <c r="AO77" s="6">
        <v>2</v>
      </c>
      <c r="AP77" s="12">
        <v>567000</v>
      </c>
      <c r="AQ77" s="12">
        <v>7650</v>
      </c>
      <c r="AR77" s="2" t="s">
        <v>314</v>
      </c>
      <c r="AS77" s="2" t="s">
        <v>663</v>
      </c>
      <c r="AT77" s="2" t="s">
        <v>288</v>
      </c>
    </row>
    <row r="78" spans="1:46" ht="64" x14ac:dyDescent="0.2">
      <c r="A78" t="s">
        <v>700</v>
      </c>
      <c r="B78" t="s">
        <v>637</v>
      </c>
      <c r="C78" t="s">
        <v>701</v>
      </c>
      <c r="D78" t="s">
        <v>702</v>
      </c>
      <c r="E78" t="s">
        <v>703</v>
      </c>
      <c r="F78" t="s">
        <v>704</v>
      </c>
      <c r="G78" t="s">
        <v>705</v>
      </c>
      <c r="H78" t="s">
        <v>274</v>
      </c>
      <c r="I78" t="s">
        <v>275</v>
      </c>
      <c r="J78" s="2" t="s">
        <v>706</v>
      </c>
      <c r="K78" s="2" t="s">
        <v>707</v>
      </c>
      <c r="L78" s="2" t="s">
        <v>278</v>
      </c>
      <c r="M78" s="2" t="s">
        <v>279</v>
      </c>
      <c r="N78" s="4" t="s">
        <v>708</v>
      </c>
      <c r="O78" s="4" t="s">
        <v>281</v>
      </c>
      <c r="P78" s="5">
        <v>1</v>
      </c>
      <c r="Q78" s="5">
        <v>2.5</v>
      </c>
      <c r="R78" s="5">
        <v>4</v>
      </c>
      <c r="S78" s="5">
        <v>2.2000000000000002</v>
      </c>
      <c r="T78" s="6">
        <v>3</v>
      </c>
      <c r="U78" s="6">
        <v>4</v>
      </c>
      <c r="V78">
        <f t="shared" si="10"/>
        <v>12</v>
      </c>
      <c r="W78" t="str">
        <f t="shared" si="11"/>
        <v>Élevé</v>
      </c>
      <c r="X78" s="7" t="s">
        <v>282</v>
      </c>
      <c r="Y78" s="8" t="s">
        <v>157</v>
      </c>
      <c r="Z78" s="8" t="s">
        <v>160</v>
      </c>
      <c r="AA78" s="8" t="s">
        <v>163</v>
      </c>
      <c r="AB78" s="6">
        <v>2</v>
      </c>
      <c r="AC78" s="6">
        <v>4</v>
      </c>
      <c r="AD78">
        <f t="shared" si="12"/>
        <v>8</v>
      </c>
      <c r="AE78" s="9" t="str">
        <f t="shared" si="13"/>
        <v>Modéré</v>
      </c>
      <c r="AF78" t="s">
        <v>174</v>
      </c>
      <c r="AG78" s="10" t="str">
        <f t="shared" si="14"/>
        <v>Dans lappétit</v>
      </c>
      <c r="AH78" t="s">
        <v>283</v>
      </c>
      <c r="AI78" s="2" t="s">
        <v>709</v>
      </c>
      <c r="AJ78" t="s">
        <v>705</v>
      </c>
      <c r="AK78" s="11">
        <v>46254</v>
      </c>
      <c r="AL78" t="s">
        <v>285</v>
      </c>
      <c r="AM78" s="11">
        <v>45980</v>
      </c>
      <c r="AN78" t="s">
        <v>286</v>
      </c>
      <c r="AO78" s="6">
        <v>3</v>
      </c>
      <c r="AP78" s="12">
        <v>369000</v>
      </c>
      <c r="AQ78" s="12">
        <v>6900</v>
      </c>
      <c r="AR78" s="2" t="s">
        <v>275</v>
      </c>
      <c r="AS78" s="2" t="s">
        <v>710</v>
      </c>
      <c r="AT78" s="2" t="s">
        <v>288</v>
      </c>
    </row>
    <row r="79" spans="1:46" ht="64" x14ac:dyDescent="0.2">
      <c r="A79" t="s">
        <v>711</v>
      </c>
      <c r="B79" t="s">
        <v>637</v>
      </c>
      <c r="C79" t="s">
        <v>701</v>
      </c>
      <c r="D79" t="s">
        <v>702</v>
      </c>
      <c r="E79" t="s">
        <v>703</v>
      </c>
      <c r="F79" t="s">
        <v>704</v>
      </c>
      <c r="G79" t="s">
        <v>705</v>
      </c>
      <c r="H79" t="s">
        <v>290</v>
      </c>
      <c r="I79" t="s">
        <v>373</v>
      </c>
      <c r="J79" s="2" t="s">
        <v>712</v>
      </c>
      <c r="K79" s="2" t="s">
        <v>707</v>
      </c>
      <c r="L79" s="2" t="s">
        <v>293</v>
      </c>
      <c r="M79" s="2" t="s">
        <v>713</v>
      </c>
      <c r="N79" s="4" t="s">
        <v>714</v>
      </c>
      <c r="O79" s="4" t="s">
        <v>296</v>
      </c>
      <c r="P79" s="5">
        <v>0</v>
      </c>
      <c r="Q79" s="5">
        <v>2</v>
      </c>
      <c r="R79" s="5">
        <v>4</v>
      </c>
      <c r="S79" s="5">
        <v>4</v>
      </c>
      <c r="T79" s="6">
        <v>2</v>
      </c>
      <c r="U79" s="6">
        <v>5</v>
      </c>
      <c r="V79">
        <f t="shared" si="10"/>
        <v>10</v>
      </c>
      <c r="W79" t="str">
        <f t="shared" si="11"/>
        <v>Élevé</v>
      </c>
      <c r="X79" s="7" t="s">
        <v>297</v>
      </c>
      <c r="Y79" s="8" t="s">
        <v>298</v>
      </c>
      <c r="Z79" s="8" t="s">
        <v>202</v>
      </c>
      <c r="AA79" s="8" t="s">
        <v>177</v>
      </c>
      <c r="AB79" s="6">
        <v>2</v>
      </c>
      <c r="AC79" s="6">
        <v>5</v>
      </c>
      <c r="AD79">
        <f t="shared" si="12"/>
        <v>10</v>
      </c>
      <c r="AE79" s="14" t="str">
        <f t="shared" si="13"/>
        <v>Élevé</v>
      </c>
      <c r="AF79" t="s">
        <v>177</v>
      </c>
      <c r="AG79" s="14" t="str">
        <f t="shared" si="14"/>
        <v>Hors appétit</v>
      </c>
      <c r="AH79" t="s">
        <v>283</v>
      </c>
      <c r="AI79" s="2" t="s">
        <v>715</v>
      </c>
      <c r="AJ79" t="s">
        <v>705</v>
      </c>
      <c r="AK79" s="11">
        <v>46265</v>
      </c>
      <c r="AL79" t="s">
        <v>196</v>
      </c>
      <c r="AM79" s="11">
        <v>45974</v>
      </c>
      <c r="AN79" t="s">
        <v>202</v>
      </c>
      <c r="AO79" s="6">
        <v>1</v>
      </c>
      <c r="AP79" s="12">
        <v>336000</v>
      </c>
      <c r="AQ79" s="12">
        <v>7150</v>
      </c>
      <c r="AR79" s="2" t="s">
        <v>373</v>
      </c>
      <c r="AS79" s="2" t="s">
        <v>716</v>
      </c>
      <c r="AT79" s="2" t="s">
        <v>288</v>
      </c>
    </row>
    <row r="80" spans="1:46" ht="64" x14ac:dyDescent="0.2">
      <c r="A80" t="s">
        <v>717</v>
      </c>
      <c r="B80" t="s">
        <v>637</v>
      </c>
      <c r="C80" t="s">
        <v>701</v>
      </c>
      <c r="D80" t="s">
        <v>702</v>
      </c>
      <c r="E80" t="s">
        <v>703</v>
      </c>
      <c r="F80" t="s">
        <v>704</v>
      </c>
      <c r="G80" t="s">
        <v>705</v>
      </c>
      <c r="H80" t="s">
        <v>104</v>
      </c>
      <c r="I80" t="s">
        <v>107</v>
      </c>
      <c r="J80" s="2" t="s">
        <v>718</v>
      </c>
      <c r="K80" s="2" t="s">
        <v>707</v>
      </c>
      <c r="L80" s="2" t="s">
        <v>304</v>
      </c>
      <c r="M80" s="2" t="s">
        <v>305</v>
      </c>
      <c r="N80" s="4" t="s">
        <v>719</v>
      </c>
      <c r="O80" s="4" t="s">
        <v>296</v>
      </c>
      <c r="P80" s="5">
        <v>0</v>
      </c>
      <c r="Q80" s="5">
        <v>1</v>
      </c>
      <c r="R80" s="5">
        <v>3</v>
      </c>
      <c r="S80" s="5">
        <v>3</v>
      </c>
      <c r="T80" s="6">
        <v>3</v>
      </c>
      <c r="U80" s="6">
        <v>5</v>
      </c>
      <c r="V80">
        <f t="shared" si="10"/>
        <v>15</v>
      </c>
      <c r="W80" t="str">
        <f t="shared" si="11"/>
        <v>Critique</v>
      </c>
      <c r="X80" s="7" t="s">
        <v>307</v>
      </c>
      <c r="Y80" s="8" t="s">
        <v>157</v>
      </c>
      <c r="Z80" s="8" t="s">
        <v>160</v>
      </c>
      <c r="AA80" s="8" t="s">
        <v>163</v>
      </c>
      <c r="AB80" s="6">
        <v>2</v>
      </c>
      <c r="AC80" s="6">
        <v>5</v>
      </c>
      <c r="AD80">
        <f t="shared" si="12"/>
        <v>10</v>
      </c>
      <c r="AE80" s="14" t="str">
        <f t="shared" si="13"/>
        <v>Élevé</v>
      </c>
      <c r="AF80" t="s">
        <v>177</v>
      </c>
      <c r="AG80" s="14" t="str">
        <f t="shared" si="14"/>
        <v>Hors appétit</v>
      </c>
      <c r="AH80" t="s">
        <v>308</v>
      </c>
      <c r="AI80" s="2" t="s">
        <v>720</v>
      </c>
      <c r="AJ80" t="s">
        <v>705</v>
      </c>
      <c r="AK80" s="11">
        <v>46276</v>
      </c>
      <c r="AL80" t="s">
        <v>310</v>
      </c>
      <c r="AM80" s="11">
        <v>45968</v>
      </c>
      <c r="AN80" t="s">
        <v>202</v>
      </c>
      <c r="AO80" s="6">
        <v>2</v>
      </c>
      <c r="AP80" s="12">
        <v>640000</v>
      </c>
      <c r="AQ80" s="12">
        <v>7400</v>
      </c>
      <c r="AR80" s="15" t="s">
        <v>107</v>
      </c>
      <c r="AS80" s="2" t="s">
        <v>721</v>
      </c>
      <c r="AT80" s="2" t="s">
        <v>288</v>
      </c>
    </row>
    <row r="81" spans="1:46" ht="64" x14ac:dyDescent="0.2">
      <c r="A81" t="s">
        <v>722</v>
      </c>
      <c r="B81" t="s">
        <v>637</v>
      </c>
      <c r="C81" t="s">
        <v>701</v>
      </c>
      <c r="D81" t="s">
        <v>702</v>
      </c>
      <c r="E81" t="s">
        <v>703</v>
      </c>
      <c r="F81" t="s">
        <v>704</v>
      </c>
      <c r="G81" t="s">
        <v>705</v>
      </c>
      <c r="H81" t="s">
        <v>313</v>
      </c>
      <c r="I81" t="s">
        <v>314</v>
      </c>
      <c r="J81" s="2" t="s">
        <v>723</v>
      </c>
      <c r="K81" s="2" t="s">
        <v>707</v>
      </c>
      <c r="L81" s="2" t="s">
        <v>316</v>
      </c>
      <c r="M81" s="2" t="s">
        <v>724</v>
      </c>
      <c r="N81" s="4" t="s">
        <v>725</v>
      </c>
      <c r="O81" s="4" t="s">
        <v>296</v>
      </c>
      <c r="P81" s="5">
        <v>0</v>
      </c>
      <c r="Q81" s="5">
        <v>3</v>
      </c>
      <c r="R81" s="5">
        <v>6</v>
      </c>
      <c r="S81" s="5">
        <v>2</v>
      </c>
      <c r="T81" s="6">
        <v>2</v>
      </c>
      <c r="U81" s="6">
        <v>5</v>
      </c>
      <c r="V81">
        <f t="shared" si="10"/>
        <v>10</v>
      </c>
      <c r="W81" t="str">
        <f t="shared" si="11"/>
        <v>Élevé</v>
      </c>
      <c r="X81" s="7" t="s">
        <v>319</v>
      </c>
      <c r="Y81" s="8" t="s">
        <v>320</v>
      </c>
      <c r="Z81" s="8" t="s">
        <v>160</v>
      </c>
      <c r="AA81" s="8" t="s">
        <v>321</v>
      </c>
      <c r="AB81" s="6">
        <v>1</v>
      </c>
      <c r="AC81" s="6">
        <v>4</v>
      </c>
      <c r="AD81">
        <f t="shared" si="12"/>
        <v>4</v>
      </c>
      <c r="AE81" s="10" t="str">
        <f t="shared" si="13"/>
        <v>Faible</v>
      </c>
      <c r="AF81" t="s">
        <v>177</v>
      </c>
      <c r="AG81" s="10" t="str">
        <f t="shared" si="14"/>
        <v>Dans lappétit</v>
      </c>
      <c r="AH81" t="s">
        <v>322</v>
      </c>
      <c r="AI81" s="2" t="s">
        <v>726</v>
      </c>
      <c r="AJ81" t="s">
        <v>705</v>
      </c>
      <c r="AK81" s="11">
        <v>46287</v>
      </c>
      <c r="AL81" t="s">
        <v>310</v>
      </c>
      <c r="AM81" s="11">
        <v>46082</v>
      </c>
      <c r="AN81" t="s">
        <v>286</v>
      </c>
      <c r="AO81" s="6">
        <v>0</v>
      </c>
      <c r="AP81" s="12">
        <v>501000</v>
      </c>
      <c r="AQ81" s="12">
        <v>7650</v>
      </c>
      <c r="AR81" s="2" t="s">
        <v>314</v>
      </c>
      <c r="AS81" s="2" t="s">
        <v>727</v>
      </c>
      <c r="AT81" s="2" t="s">
        <v>288</v>
      </c>
    </row>
    <row r="82" spans="1:46" ht="64" x14ac:dyDescent="0.2">
      <c r="A82" t="s">
        <v>728</v>
      </c>
      <c r="B82" t="s">
        <v>637</v>
      </c>
      <c r="C82" t="s">
        <v>701</v>
      </c>
      <c r="D82" t="s">
        <v>729</v>
      </c>
      <c r="E82" t="s">
        <v>703</v>
      </c>
      <c r="F82" t="s">
        <v>704</v>
      </c>
      <c r="G82" t="s">
        <v>730</v>
      </c>
      <c r="H82" t="s">
        <v>274</v>
      </c>
      <c r="I82" t="s">
        <v>275</v>
      </c>
      <c r="J82" s="2" t="s">
        <v>731</v>
      </c>
      <c r="K82" s="2" t="s">
        <v>707</v>
      </c>
      <c r="L82" s="2" t="s">
        <v>278</v>
      </c>
      <c r="M82" s="2" t="s">
        <v>279</v>
      </c>
      <c r="N82" s="4" t="s">
        <v>732</v>
      </c>
      <c r="O82" s="4" t="s">
        <v>281</v>
      </c>
      <c r="P82" s="5">
        <v>1</v>
      </c>
      <c r="Q82" s="5">
        <v>2.5</v>
      </c>
      <c r="R82" s="5">
        <v>4</v>
      </c>
      <c r="S82" s="5">
        <v>2.5</v>
      </c>
      <c r="T82" s="6">
        <v>3</v>
      </c>
      <c r="U82" s="6">
        <v>4</v>
      </c>
      <c r="V82">
        <f t="shared" si="10"/>
        <v>12</v>
      </c>
      <c r="W82" t="str">
        <f t="shared" si="11"/>
        <v>Élevé</v>
      </c>
      <c r="X82" s="7" t="s">
        <v>282</v>
      </c>
      <c r="Y82" s="8" t="s">
        <v>157</v>
      </c>
      <c r="Z82" s="8" t="s">
        <v>160</v>
      </c>
      <c r="AA82" s="8" t="s">
        <v>177</v>
      </c>
      <c r="AB82" s="6">
        <v>3</v>
      </c>
      <c r="AC82" s="6">
        <v>4</v>
      </c>
      <c r="AD82">
        <f t="shared" si="12"/>
        <v>12</v>
      </c>
      <c r="AE82" s="14" t="str">
        <f t="shared" si="13"/>
        <v>Élevé</v>
      </c>
      <c r="AF82" t="s">
        <v>174</v>
      </c>
      <c r="AG82" s="14" t="str">
        <f t="shared" si="14"/>
        <v>Hors appétit</v>
      </c>
      <c r="AH82" t="s">
        <v>283</v>
      </c>
      <c r="AI82" s="2" t="s">
        <v>733</v>
      </c>
      <c r="AJ82" t="s">
        <v>730</v>
      </c>
      <c r="AK82" s="11">
        <v>46298</v>
      </c>
      <c r="AL82" t="s">
        <v>285</v>
      </c>
      <c r="AM82" s="11">
        <v>46076</v>
      </c>
      <c r="AN82" t="s">
        <v>202</v>
      </c>
      <c r="AO82" s="6">
        <v>3</v>
      </c>
      <c r="AP82" s="12">
        <v>378000</v>
      </c>
      <c r="AQ82" s="12">
        <v>7250</v>
      </c>
      <c r="AR82" s="2" t="s">
        <v>275</v>
      </c>
      <c r="AS82" s="2" t="s">
        <v>710</v>
      </c>
      <c r="AT82" s="2" t="s">
        <v>288</v>
      </c>
    </row>
    <row r="83" spans="1:46" ht="64" x14ac:dyDescent="0.2">
      <c r="A83" t="s">
        <v>734</v>
      </c>
      <c r="B83" t="s">
        <v>637</v>
      </c>
      <c r="C83" t="s">
        <v>701</v>
      </c>
      <c r="D83" t="s">
        <v>729</v>
      </c>
      <c r="E83" t="s">
        <v>703</v>
      </c>
      <c r="F83" t="s">
        <v>704</v>
      </c>
      <c r="G83" t="s">
        <v>730</v>
      </c>
      <c r="H83" t="s">
        <v>290</v>
      </c>
      <c r="I83" t="s">
        <v>373</v>
      </c>
      <c r="J83" s="2" t="s">
        <v>735</v>
      </c>
      <c r="K83" s="2" t="s">
        <v>707</v>
      </c>
      <c r="L83" s="2" t="s">
        <v>293</v>
      </c>
      <c r="M83" s="2" t="s">
        <v>713</v>
      </c>
      <c r="N83" s="4" t="s">
        <v>736</v>
      </c>
      <c r="O83" s="4" t="s">
        <v>296</v>
      </c>
      <c r="P83" s="5">
        <v>0</v>
      </c>
      <c r="Q83" s="5">
        <v>2</v>
      </c>
      <c r="R83" s="5">
        <v>4</v>
      </c>
      <c r="S83" s="5">
        <v>3</v>
      </c>
      <c r="T83" s="6">
        <v>3</v>
      </c>
      <c r="U83" s="6">
        <v>5</v>
      </c>
      <c r="V83">
        <f t="shared" si="10"/>
        <v>15</v>
      </c>
      <c r="W83" t="str">
        <f t="shared" si="11"/>
        <v>Critique</v>
      </c>
      <c r="X83" s="7" t="s">
        <v>297</v>
      </c>
      <c r="Y83" s="8" t="s">
        <v>298</v>
      </c>
      <c r="Z83" s="8" t="s">
        <v>202</v>
      </c>
      <c r="AA83" s="8" t="s">
        <v>163</v>
      </c>
      <c r="AB83" s="6">
        <v>2</v>
      </c>
      <c r="AC83" s="6">
        <v>5</v>
      </c>
      <c r="AD83">
        <f t="shared" si="12"/>
        <v>10</v>
      </c>
      <c r="AE83" s="14" t="str">
        <f t="shared" si="13"/>
        <v>Élevé</v>
      </c>
      <c r="AF83" t="s">
        <v>177</v>
      </c>
      <c r="AG83" s="14" t="str">
        <f t="shared" si="14"/>
        <v>Hors appétit</v>
      </c>
      <c r="AH83" t="s">
        <v>283</v>
      </c>
      <c r="AI83" s="2" t="s">
        <v>737</v>
      </c>
      <c r="AJ83" t="s">
        <v>730</v>
      </c>
      <c r="AK83" s="11">
        <v>46309</v>
      </c>
      <c r="AL83" t="s">
        <v>300</v>
      </c>
      <c r="AM83" s="11">
        <v>46070</v>
      </c>
      <c r="AN83" t="s">
        <v>202</v>
      </c>
      <c r="AO83" s="6">
        <v>2</v>
      </c>
      <c r="AP83" s="12">
        <v>455000</v>
      </c>
      <c r="AQ83" s="12">
        <v>7500</v>
      </c>
      <c r="AR83" s="2" t="s">
        <v>373</v>
      </c>
      <c r="AS83" s="2" t="s">
        <v>716</v>
      </c>
      <c r="AT83" s="2" t="s">
        <v>288</v>
      </c>
    </row>
    <row r="84" spans="1:46" ht="64" x14ac:dyDescent="0.2">
      <c r="A84" t="s">
        <v>738</v>
      </c>
      <c r="B84" t="s">
        <v>637</v>
      </c>
      <c r="C84" t="s">
        <v>701</v>
      </c>
      <c r="D84" t="s">
        <v>729</v>
      </c>
      <c r="E84" t="s">
        <v>703</v>
      </c>
      <c r="F84" t="s">
        <v>704</v>
      </c>
      <c r="G84" t="s">
        <v>730</v>
      </c>
      <c r="H84" t="s">
        <v>104</v>
      </c>
      <c r="I84" t="s">
        <v>107</v>
      </c>
      <c r="J84" s="2" t="s">
        <v>739</v>
      </c>
      <c r="K84" s="2" t="s">
        <v>707</v>
      </c>
      <c r="L84" s="2" t="s">
        <v>304</v>
      </c>
      <c r="M84" s="2" t="s">
        <v>305</v>
      </c>
      <c r="N84" s="4" t="s">
        <v>740</v>
      </c>
      <c r="O84" s="4" t="s">
        <v>296</v>
      </c>
      <c r="P84" s="5">
        <v>0</v>
      </c>
      <c r="Q84" s="5">
        <v>1</v>
      </c>
      <c r="R84" s="5">
        <v>3</v>
      </c>
      <c r="S84" s="5">
        <v>3</v>
      </c>
      <c r="T84" s="6">
        <v>3</v>
      </c>
      <c r="U84" s="6">
        <v>5</v>
      </c>
      <c r="V84">
        <f t="shared" si="10"/>
        <v>15</v>
      </c>
      <c r="W84" t="str">
        <f t="shared" si="11"/>
        <v>Critique</v>
      </c>
      <c r="X84" s="7" t="s">
        <v>307</v>
      </c>
      <c r="Y84" s="8" t="s">
        <v>157</v>
      </c>
      <c r="Z84" s="8" t="s">
        <v>160</v>
      </c>
      <c r="AA84" s="8" t="s">
        <v>163</v>
      </c>
      <c r="AB84" s="6">
        <v>2</v>
      </c>
      <c r="AC84" s="6">
        <v>5</v>
      </c>
      <c r="AD84">
        <f t="shared" si="12"/>
        <v>10</v>
      </c>
      <c r="AE84" s="14" t="str">
        <f t="shared" si="13"/>
        <v>Élevé</v>
      </c>
      <c r="AF84" t="s">
        <v>177</v>
      </c>
      <c r="AG84" s="14" t="str">
        <f t="shared" si="14"/>
        <v>Hors appétit</v>
      </c>
      <c r="AH84" t="s">
        <v>308</v>
      </c>
      <c r="AI84" s="2" t="s">
        <v>741</v>
      </c>
      <c r="AJ84" t="s">
        <v>730</v>
      </c>
      <c r="AK84" s="11">
        <v>46320</v>
      </c>
      <c r="AL84" t="s">
        <v>310</v>
      </c>
      <c r="AM84" s="11">
        <v>46064</v>
      </c>
      <c r="AN84" t="s">
        <v>202</v>
      </c>
      <c r="AO84" s="6">
        <v>2</v>
      </c>
      <c r="AP84" s="12">
        <v>652000</v>
      </c>
      <c r="AQ84" s="12">
        <v>7750</v>
      </c>
      <c r="AR84" s="15" t="s">
        <v>107</v>
      </c>
      <c r="AS84" s="2" t="s">
        <v>721</v>
      </c>
      <c r="AT84" s="2" t="s">
        <v>288</v>
      </c>
    </row>
    <row r="85" spans="1:46" ht="64" x14ac:dyDescent="0.2">
      <c r="A85" t="s">
        <v>742</v>
      </c>
      <c r="B85" t="s">
        <v>637</v>
      </c>
      <c r="C85" t="s">
        <v>701</v>
      </c>
      <c r="D85" t="s">
        <v>729</v>
      </c>
      <c r="E85" t="s">
        <v>703</v>
      </c>
      <c r="F85" t="s">
        <v>704</v>
      </c>
      <c r="G85" t="s">
        <v>730</v>
      </c>
      <c r="H85" t="s">
        <v>313</v>
      </c>
      <c r="I85" t="s">
        <v>314</v>
      </c>
      <c r="J85" s="2" t="s">
        <v>743</v>
      </c>
      <c r="K85" s="2" t="s">
        <v>707</v>
      </c>
      <c r="L85" s="2" t="s">
        <v>316</v>
      </c>
      <c r="M85" s="2" t="s">
        <v>724</v>
      </c>
      <c r="N85" s="4" t="s">
        <v>744</v>
      </c>
      <c r="O85" s="4" t="s">
        <v>296</v>
      </c>
      <c r="P85" s="5">
        <v>0</v>
      </c>
      <c r="Q85" s="5">
        <v>3</v>
      </c>
      <c r="R85" s="5">
        <v>6</v>
      </c>
      <c r="S85" s="5">
        <v>4</v>
      </c>
      <c r="T85" s="6">
        <v>2</v>
      </c>
      <c r="U85" s="6">
        <v>5</v>
      </c>
      <c r="V85">
        <f t="shared" si="10"/>
        <v>10</v>
      </c>
      <c r="W85" t="str">
        <f t="shared" si="11"/>
        <v>Élevé</v>
      </c>
      <c r="X85" s="7" t="s">
        <v>319</v>
      </c>
      <c r="Y85" s="8" t="s">
        <v>320</v>
      </c>
      <c r="Z85" s="8" t="s">
        <v>160</v>
      </c>
      <c r="AA85" s="8" t="s">
        <v>163</v>
      </c>
      <c r="AB85" s="6">
        <v>1</v>
      </c>
      <c r="AC85" s="6">
        <v>5</v>
      </c>
      <c r="AD85">
        <f t="shared" si="12"/>
        <v>5</v>
      </c>
      <c r="AE85" s="10" t="str">
        <f t="shared" si="13"/>
        <v>Faible</v>
      </c>
      <c r="AF85" t="s">
        <v>177</v>
      </c>
      <c r="AG85" s="10" t="str">
        <f t="shared" si="14"/>
        <v>Dans lappétit</v>
      </c>
      <c r="AH85" t="s">
        <v>283</v>
      </c>
      <c r="AI85" s="2" t="s">
        <v>745</v>
      </c>
      <c r="AJ85" t="s">
        <v>730</v>
      </c>
      <c r="AK85" s="11">
        <v>46331</v>
      </c>
      <c r="AL85" t="s">
        <v>310</v>
      </c>
      <c r="AM85" s="11">
        <v>46058</v>
      </c>
      <c r="AN85" t="s">
        <v>286</v>
      </c>
      <c r="AO85" s="6">
        <v>1</v>
      </c>
      <c r="AP85" s="12">
        <v>514000</v>
      </c>
      <c r="AQ85" s="12">
        <v>8000</v>
      </c>
      <c r="AR85" s="2" t="s">
        <v>314</v>
      </c>
      <c r="AS85" s="2" t="s">
        <v>727</v>
      </c>
      <c r="AT85" s="2" t="s">
        <v>288</v>
      </c>
    </row>
    <row r="86" spans="1:46" ht="64" x14ac:dyDescent="0.2">
      <c r="A86" t="s">
        <v>746</v>
      </c>
      <c r="B86" t="s">
        <v>637</v>
      </c>
      <c r="C86" t="s">
        <v>747</v>
      </c>
      <c r="D86" t="s">
        <v>748</v>
      </c>
      <c r="E86" t="s">
        <v>749</v>
      </c>
      <c r="F86" t="s">
        <v>749</v>
      </c>
      <c r="G86" t="s">
        <v>750</v>
      </c>
      <c r="H86" t="s">
        <v>274</v>
      </c>
      <c r="I86" t="s">
        <v>275</v>
      </c>
      <c r="J86" s="2" t="s">
        <v>751</v>
      </c>
      <c r="K86" s="2" t="s">
        <v>752</v>
      </c>
      <c r="L86" s="2" t="s">
        <v>278</v>
      </c>
      <c r="M86" s="2" t="s">
        <v>279</v>
      </c>
      <c r="N86" s="4" t="s">
        <v>753</v>
      </c>
      <c r="O86" s="4" t="s">
        <v>281</v>
      </c>
      <c r="P86" s="5">
        <v>1</v>
      </c>
      <c r="Q86" s="5">
        <v>2.5</v>
      </c>
      <c r="R86" s="5">
        <v>4</v>
      </c>
      <c r="S86" s="5">
        <v>1.7</v>
      </c>
      <c r="T86" s="6">
        <v>3</v>
      </c>
      <c r="U86" s="6">
        <v>4</v>
      </c>
      <c r="V86">
        <f t="shared" si="10"/>
        <v>12</v>
      </c>
      <c r="W86" t="str">
        <f t="shared" si="11"/>
        <v>Élevé</v>
      </c>
      <c r="X86" s="7" t="s">
        <v>282</v>
      </c>
      <c r="Y86" s="8" t="s">
        <v>157</v>
      </c>
      <c r="Z86" s="8" t="s">
        <v>160</v>
      </c>
      <c r="AA86" s="8" t="s">
        <v>163</v>
      </c>
      <c r="AB86" s="6">
        <v>2</v>
      </c>
      <c r="AC86" s="6">
        <v>4</v>
      </c>
      <c r="AD86">
        <f t="shared" si="12"/>
        <v>8</v>
      </c>
      <c r="AE86" s="9" t="str">
        <f t="shared" si="13"/>
        <v>Modéré</v>
      </c>
      <c r="AF86" t="s">
        <v>174</v>
      </c>
      <c r="AG86" s="10" t="str">
        <f t="shared" si="14"/>
        <v>Dans lappétit</v>
      </c>
      <c r="AH86" t="s">
        <v>283</v>
      </c>
      <c r="AI86" s="2" t="s">
        <v>754</v>
      </c>
      <c r="AJ86" t="s">
        <v>750</v>
      </c>
      <c r="AK86" s="11">
        <v>46342</v>
      </c>
      <c r="AL86" t="s">
        <v>285</v>
      </c>
      <c r="AM86" s="11">
        <v>46052</v>
      </c>
      <c r="AN86" t="s">
        <v>286</v>
      </c>
      <c r="AO86" s="6">
        <v>3</v>
      </c>
      <c r="AP86" s="12">
        <v>384000</v>
      </c>
      <c r="AQ86" s="12">
        <v>7600</v>
      </c>
      <c r="AR86" s="2" t="s">
        <v>275</v>
      </c>
      <c r="AS86" s="2" t="s">
        <v>755</v>
      </c>
      <c r="AT86" s="2" t="s">
        <v>288</v>
      </c>
    </row>
    <row r="87" spans="1:46" ht="64" x14ac:dyDescent="0.2">
      <c r="A87" t="s">
        <v>756</v>
      </c>
      <c r="B87" t="s">
        <v>637</v>
      </c>
      <c r="C87" t="s">
        <v>747</v>
      </c>
      <c r="D87" t="s">
        <v>748</v>
      </c>
      <c r="E87" t="s">
        <v>749</v>
      </c>
      <c r="F87" t="s">
        <v>749</v>
      </c>
      <c r="G87" t="s">
        <v>750</v>
      </c>
      <c r="H87" t="s">
        <v>290</v>
      </c>
      <c r="I87" t="s">
        <v>757</v>
      </c>
      <c r="J87" s="2" t="s">
        <v>758</v>
      </c>
      <c r="K87" s="2" t="s">
        <v>752</v>
      </c>
      <c r="L87" s="2" t="s">
        <v>293</v>
      </c>
      <c r="M87" s="2" t="s">
        <v>294</v>
      </c>
      <c r="N87" s="4" t="s">
        <v>759</v>
      </c>
      <c r="O87" s="4" t="s">
        <v>296</v>
      </c>
      <c r="P87" s="5">
        <v>0</v>
      </c>
      <c r="Q87" s="5">
        <v>2</v>
      </c>
      <c r="R87" s="5">
        <v>4</v>
      </c>
      <c r="S87" s="5">
        <v>2</v>
      </c>
      <c r="T87" s="6">
        <v>3</v>
      </c>
      <c r="U87" s="6">
        <v>5</v>
      </c>
      <c r="V87">
        <f t="shared" si="10"/>
        <v>15</v>
      </c>
      <c r="W87" t="str">
        <f t="shared" si="11"/>
        <v>Critique</v>
      </c>
      <c r="X87" s="7" t="s">
        <v>297</v>
      </c>
      <c r="Y87" s="8" t="s">
        <v>298</v>
      </c>
      <c r="Z87" s="8" t="s">
        <v>202</v>
      </c>
      <c r="AA87" s="8" t="s">
        <v>177</v>
      </c>
      <c r="AB87" s="6">
        <v>3</v>
      </c>
      <c r="AC87" s="6">
        <v>5</v>
      </c>
      <c r="AD87">
        <f t="shared" si="12"/>
        <v>15</v>
      </c>
      <c r="AE87" s="13" t="str">
        <f t="shared" si="13"/>
        <v>Critique</v>
      </c>
      <c r="AF87" t="s">
        <v>177</v>
      </c>
      <c r="AG87" s="14" t="str">
        <f t="shared" si="14"/>
        <v>Hors appétit</v>
      </c>
      <c r="AH87" t="s">
        <v>283</v>
      </c>
      <c r="AI87" s="2" t="s">
        <v>760</v>
      </c>
      <c r="AJ87" t="s">
        <v>750</v>
      </c>
      <c r="AK87" s="11">
        <v>46353</v>
      </c>
      <c r="AL87" t="s">
        <v>300</v>
      </c>
      <c r="AM87" s="11">
        <v>46046</v>
      </c>
      <c r="AN87" t="s">
        <v>160</v>
      </c>
      <c r="AO87" s="6">
        <v>2</v>
      </c>
      <c r="AP87" s="12">
        <v>461000</v>
      </c>
      <c r="AQ87" s="12">
        <v>7850</v>
      </c>
      <c r="AR87" s="2" t="s">
        <v>757</v>
      </c>
      <c r="AS87" s="2" t="s">
        <v>761</v>
      </c>
      <c r="AT87" s="2" t="s">
        <v>288</v>
      </c>
    </row>
    <row r="88" spans="1:46" ht="64" x14ac:dyDescent="0.2">
      <c r="A88" t="s">
        <v>762</v>
      </c>
      <c r="B88" t="s">
        <v>637</v>
      </c>
      <c r="C88" t="s">
        <v>747</v>
      </c>
      <c r="D88" t="s">
        <v>748</v>
      </c>
      <c r="E88" t="s">
        <v>749</v>
      </c>
      <c r="F88" t="s">
        <v>749</v>
      </c>
      <c r="G88" t="s">
        <v>750</v>
      </c>
      <c r="H88" t="s">
        <v>104</v>
      </c>
      <c r="I88" t="s">
        <v>107</v>
      </c>
      <c r="J88" s="2" t="s">
        <v>763</v>
      </c>
      <c r="K88" s="2" t="s">
        <v>752</v>
      </c>
      <c r="L88" s="2" t="s">
        <v>304</v>
      </c>
      <c r="M88" s="2" t="s">
        <v>305</v>
      </c>
      <c r="N88" s="4" t="s">
        <v>764</v>
      </c>
      <c r="O88" s="4" t="s">
        <v>296</v>
      </c>
      <c r="P88" s="5">
        <v>0</v>
      </c>
      <c r="Q88" s="5">
        <v>1</v>
      </c>
      <c r="R88" s="5">
        <v>3</v>
      </c>
      <c r="S88" s="5">
        <v>2</v>
      </c>
      <c r="T88" s="6">
        <v>3</v>
      </c>
      <c r="U88" s="6">
        <v>5</v>
      </c>
      <c r="V88">
        <f t="shared" si="10"/>
        <v>15</v>
      </c>
      <c r="W88" t="str">
        <f t="shared" si="11"/>
        <v>Critique</v>
      </c>
      <c r="X88" s="7" t="s">
        <v>307</v>
      </c>
      <c r="Y88" s="8" t="s">
        <v>157</v>
      </c>
      <c r="Z88" s="8" t="s">
        <v>160</v>
      </c>
      <c r="AA88" s="8" t="s">
        <v>163</v>
      </c>
      <c r="AB88" s="6">
        <v>2</v>
      </c>
      <c r="AC88" s="6">
        <v>5</v>
      </c>
      <c r="AD88">
        <f t="shared" si="12"/>
        <v>10</v>
      </c>
      <c r="AE88" s="14" t="str">
        <f t="shared" si="13"/>
        <v>Élevé</v>
      </c>
      <c r="AF88" t="s">
        <v>177</v>
      </c>
      <c r="AG88" s="14" t="str">
        <f t="shared" si="14"/>
        <v>Hors appétit</v>
      </c>
      <c r="AH88" t="s">
        <v>308</v>
      </c>
      <c r="AI88" s="2" t="s">
        <v>765</v>
      </c>
      <c r="AJ88" t="s">
        <v>750</v>
      </c>
      <c r="AK88" s="11">
        <v>46364</v>
      </c>
      <c r="AL88" t="s">
        <v>310</v>
      </c>
      <c r="AM88" s="11">
        <v>46040</v>
      </c>
      <c r="AN88" t="s">
        <v>202</v>
      </c>
      <c r="AO88" s="6">
        <v>2</v>
      </c>
      <c r="AP88" s="12">
        <v>661000</v>
      </c>
      <c r="AQ88" s="12">
        <v>8100</v>
      </c>
      <c r="AR88" s="15" t="s">
        <v>107</v>
      </c>
      <c r="AS88" s="2" t="s">
        <v>766</v>
      </c>
      <c r="AT88" s="2" t="s">
        <v>288</v>
      </c>
    </row>
    <row r="89" spans="1:46" ht="64" x14ac:dyDescent="0.2">
      <c r="A89" t="s">
        <v>767</v>
      </c>
      <c r="B89" t="s">
        <v>637</v>
      </c>
      <c r="C89" t="s">
        <v>747</v>
      </c>
      <c r="D89" t="s">
        <v>748</v>
      </c>
      <c r="E89" t="s">
        <v>749</v>
      </c>
      <c r="F89" t="s">
        <v>749</v>
      </c>
      <c r="G89" t="s">
        <v>750</v>
      </c>
      <c r="H89" t="s">
        <v>313</v>
      </c>
      <c r="I89" t="s">
        <v>314</v>
      </c>
      <c r="J89" s="2" t="s">
        <v>768</v>
      </c>
      <c r="K89" s="2" t="s">
        <v>752</v>
      </c>
      <c r="L89" s="2" t="s">
        <v>316</v>
      </c>
      <c r="M89" s="2" t="s">
        <v>505</v>
      </c>
      <c r="N89" s="4" t="s">
        <v>769</v>
      </c>
      <c r="O89" s="4" t="s">
        <v>296</v>
      </c>
      <c r="P89" s="5">
        <v>0</v>
      </c>
      <c r="Q89" s="5">
        <v>3</v>
      </c>
      <c r="R89" s="5">
        <v>6</v>
      </c>
      <c r="S89" s="5">
        <v>5</v>
      </c>
      <c r="T89" s="6">
        <v>3</v>
      </c>
      <c r="U89" s="6">
        <v>5</v>
      </c>
      <c r="V89">
        <f t="shared" si="10"/>
        <v>15</v>
      </c>
      <c r="W89" t="str">
        <f t="shared" si="11"/>
        <v>Critique</v>
      </c>
      <c r="X89" s="7" t="s">
        <v>319</v>
      </c>
      <c r="Y89" s="8" t="s">
        <v>320</v>
      </c>
      <c r="Z89" s="8" t="s">
        <v>160</v>
      </c>
      <c r="AA89" s="8" t="s">
        <v>321</v>
      </c>
      <c r="AB89" s="6">
        <v>2</v>
      </c>
      <c r="AC89" s="6">
        <v>4</v>
      </c>
      <c r="AD89">
        <f t="shared" si="12"/>
        <v>8</v>
      </c>
      <c r="AE89" s="9" t="str">
        <f t="shared" si="13"/>
        <v>Modéré</v>
      </c>
      <c r="AF89" t="s">
        <v>177</v>
      </c>
      <c r="AG89" s="14" t="str">
        <f t="shared" si="14"/>
        <v>Hors appétit</v>
      </c>
      <c r="AH89" t="s">
        <v>283</v>
      </c>
      <c r="AI89" s="2" t="s">
        <v>770</v>
      </c>
      <c r="AJ89" t="s">
        <v>750</v>
      </c>
      <c r="AK89" s="11">
        <v>46135</v>
      </c>
      <c r="AL89" t="s">
        <v>285</v>
      </c>
      <c r="AM89" s="11">
        <v>46034</v>
      </c>
      <c r="AN89" t="s">
        <v>286</v>
      </c>
      <c r="AO89" s="6">
        <v>1</v>
      </c>
      <c r="AP89" s="12">
        <v>676000</v>
      </c>
      <c r="AQ89" s="12">
        <v>8350</v>
      </c>
      <c r="AR89" s="2" t="s">
        <v>314</v>
      </c>
      <c r="AS89" s="2" t="s">
        <v>771</v>
      </c>
      <c r="AT89" s="2" t="s">
        <v>288</v>
      </c>
    </row>
    <row r="90" spans="1:46" ht="64" x14ac:dyDescent="0.2">
      <c r="A90" t="s">
        <v>772</v>
      </c>
      <c r="B90" t="s">
        <v>637</v>
      </c>
      <c r="C90" t="s">
        <v>747</v>
      </c>
      <c r="D90" t="s">
        <v>773</v>
      </c>
      <c r="E90" t="s">
        <v>749</v>
      </c>
      <c r="F90" t="s">
        <v>749</v>
      </c>
      <c r="G90" t="s">
        <v>189</v>
      </c>
      <c r="H90" t="s">
        <v>274</v>
      </c>
      <c r="I90" t="s">
        <v>275</v>
      </c>
      <c r="J90" s="2" t="s">
        <v>774</v>
      </c>
      <c r="K90" s="2" t="s">
        <v>752</v>
      </c>
      <c r="L90" s="2" t="s">
        <v>278</v>
      </c>
      <c r="M90" s="2" t="s">
        <v>279</v>
      </c>
      <c r="N90" s="4" t="s">
        <v>775</v>
      </c>
      <c r="O90" s="4" t="s">
        <v>281</v>
      </c>
      <c r="P90" s="5">
        <v>1</v>
      </c>
      <c r="Q90" s="5">
        <v>2.5</v>
      </c>
      <c r="R90" s="5">
        <v>4</v>
      </c>
      <c r="S90" s="5">
        <v>3.2</v>
      </c>
      <c r="T90" s="6">
        <v>4</v>
      </c>
      <c r="U90" s="6">
        <v>4</v>
      </c>
      <c r="V90">
        <f t="shared" si="10"/>
        <v>16</v>
      </c>
      <c r="W90" t="str">
        <f t="shared" si="11"/>
        <v>Critique</v>
      </c>
      <c r="X90" s="7" t="s">
        <v>282</v>
      </c>
      <c r="Y90" s="8" t="s">
        <v>157</v>
      </c>
      <c r="Z90" s="8" t="s">
        <v>160</v>
      </c>
      <c r="AA90" s="8" t="s">
        <v>177</v>
      </c>
      <c r="AB90" s="6">
        <v>4</v>
      </c>
      <c r="AC90" s="6">
        <v>4</v>
      </c>
      <c r="AD90">
        <f t="shared" si="12"/>
        <v>16</v>
      </c>
      <c r="AE90" s="13" t="str">
        <f t="shared" si="13"/>
        <v>Critique</v>
      </c>
      <c r="AF90" t="s">
        <v>174</v>
      </c>
      <c r="AG90" s="14" t="str">
        <f t="shared" si="14"/>
        <v>Hors appétit</v>
      </c>
      <c r="AH90" t="s">
        <v>283</v>
      </c>
      <c r="AI90" s="2" t="s">
        <v>776</v>
      </c>
      <c r="AJ90" t="s">
        <v>189</v>
      </c>
      <c r="AK90" s="11">
        <v>46146</v>
      </c>
      <c r="AL90" t="s">
        <v>196</v>
      </c>
      <c r="AM90" s="11">
        <v>46028</v>
      </c>
      <c r="AN90" t="s">
        <v>160</v>
      </c>
      <c r="AO90" s="6">
        <v>4</v>
      </c>
      <c r="AP90" s="12">
        <v>481000</v>
      </c>
      <c r="AQ90" s="12">
        <v>7950</v>
      </c>
      <c r="AR90" s="2" t="s">
        <v>275</v>
      </c>
      <c r="AS90" s="2" t="s">
        <v>755</v>
      </c>
      <c r="AT90" s="2" t="s">
        <v>288</v>
      </c>
    </row>
    <row r="91" spans="1:46" ht="64" x14ac:dyDescent="0.2">
      <c r="A91" t="s">
        <v>777</v>
      </c>
      <c r="B91" t="s">
        <v>637</v>
      </c>
      <c r="C91" t="s">
        <v>747</v>
      </c>
      <c r="D91" t="s">
        <v>773</v>
      </c>
      <c r="E91" t="s">
        <v>749</v>
      </c>
      <c r="F91" t="s">
        <v>749</v>
      </c>
      <c r="G91" t="s">
        <v>189</v>
      </c>
      <c r="H91" t="s">
        <v>290</v>
      </c>
      <c r="I91" t="s">
        <v>757</v>
      </c>
      <c r="J91" s="2" t="s">
        <v>778</v>
      </c>
      <c r="K91" s="2" t="s">
        <v>752</v>
      </c>
      <c r="L91" s="2" t="s">
        <v>293</v>
      </c>
      <c r="M91" s="2" t="s">
        <v>294</v>
      </c>
      <c r="N91" s="4" t="s">
        <v>779</v>
      </c>
      <c r="O91" s="4" t="s">
        <v>296</v>
      </c>
      <c r="P91" s="5">
        <v>0</v>
      </c>
      <c r="Q91" s="5">
        <v>2</v>
      </c>
      <c r="R91" s="5">
        <v>4</v>
      </c>
      <c r="S91" s="5">
        <v>2</v>
      </c>
      <c r="T91" s="6">
        <v>3</v>
      </c>
      <c r="U91" s="6">
        <v>5</v>
      </c>
      <c r="V91">
        <f t="shared" si="10"/>
        <v>15</v>
      </c>
      <c r="W91" t="str">
        <f t="shared" si="11"/>
        <v>Critique</v>
      </c>
      <c r="X91" s="7" t="s">
        <v>297</v>
      </c>
      <c r="Y91" s="8" t="s">
        <v>298</v>
      </c>
      <c r="Z91" s="8" t="s">
        <v>202</v>
      </c>
      <c r="AA91" s="8" t="s">
        <v>163</v>
      </c>
      <c r="AB91" s="6">
        <v>2</v>
      </c>
      <c r="AC91" s="6">
        <v>5</v>
      </c>
      <c r="AD91">
        <f t="shared" si="12"/>
        <v>10</v>
      </c>
      <c r="AE91" s="14" t="str">
        <f t="shared" si="13"/>
        <v>Élevé</v>
      </c>
      <c r="AF91" t="s">
        <v>177</v>
      </c>
      <c r="AG91" s="14" t="str">
        <f t="shared" si="14"/>
        <v>Hors appétit</v>
      </c>
      <c r="AH91" t="s">
        <v>283</v>
      </c>
      <c r="AI91" s="2" t="s">
        <v>780</v>
      </c>
      <c r="AJ91" t="s">
        <v>189</v>
      </c>
      <c r="AK91" s="11">
        <v>46157</v>
      </c>
      <c r="AL91" t="s">
        <v>300</v>
      </c>
      <c r="AM91" s="11">
        <v>46022</v>
      </c>
      <c r="AN91" t="s">
        <v>202</v>
      </c>
      <c r="AO91" s="6">
        <v>2</v>
      </c>
      <c r="AP91" s="12">
        <v>470000</v>
      </c>
      <c r="AQ91" s="12">
        <v>8200</v>
      </c>
      <c r="AR91" s="2" t="s">
        <v>757</v>
      </c>
      <c r="AS91" s="2" t="s">
        <v>761</v>
      </c>
      <c r="AT91" s="2" t="s">
        <v>288</v>
      </c>
    </row>
    <row r="92" spans="1:46" ht="64" x14ac:dyDescent="0.2">
      <c r="A92" t="s">
        <v>781</v>
      </c>
      <c r="B92" t="s">
        <v>637</v>
      </c>
      <c r="C92" t="s">
        <v>747</v>
      </c>
      <c r="D92" t="s">
        <v>773</v>
      </c>
      <c r="E92" t="s">
        <v>749</v>
      </c>
      <c r="F92" t="s">
        <v>749</v>
      </c>
      <c r="G92" t="s">
        <v>189</v>
      </c>
      <c r="H92" t="s">
        <v>104</v>
      </c>
      <c r="I92" t="s">
        <v>107</v>
      </c>
      <c r="J92" s="2" t="s">
        <v>782</v>
      </c>
      <c r="K92" s="2" t="s">
        <v>752</v>
      </c>
      <c r="L92" s="2" t="s">
        <v>304</v>
      </c>
      <c r="M92" s="2" t="s">
        <v>305</v>
      </c>
      <c r="N92" s="4" t="s">
        <v>783</v>
      </c>
      <c r="O92" s="4" t="s">
        <v>296</v>
      </c>
      <c r="P92" s="5">
        <v>0</v>
      </c>
      <c r="Q92" s="5">
        <v>1</v>
      </c>
      <c r="R92" s="5">
        <v>3</v>
      </c>
      <c r="S92" s="5">
        <v>1</v>
      </c>
      <c r="T92" s="6">
        <v>3</v>
      </c>
      <c r="U92" s="6">
        <v>5</v>
      </c>
      <c r="V92">
        <f t="shared" si="10"/>
        <v>15</v>
      </c>
      <c r="W92" t="str">
        <f t="shared" si="11"/>
        <v>Critique</v>
      </c>
      <c r="X92" s="7" t="s">
        <v>307</v>
      </c>
      <c r="Y92" s="8" t="s">
        <v>157</v>
      </c>
      <c r="Z92" s="8" t="s">
        <v>160</v>
      </c>
      <c r="AA92" s="8" t="s">
        <v>163</v>
      </c>
      <c r="AB92" s="6">
        <v>2</v>
      </c>
      <c r="AC92" s="6">
        <v>5</v>
      </c>
      <c r="AD92">
        <f t="shared" si="12"/>
        <v>10</v>
      </c>
      <c r="AE92" s="14" t="str">
        <f t="shared" si="13"/>
        <v>Élevé</v>
      </c>
      <c r="AF92" t="s">
        <v>177</v>
      </c>
      <c r="AG92" s="14" t="str">
        <f t="shared" si="14"/>
        <v>Hors appétit</v>
      </c>
      <c r="AH92" t="s">
        <v>308</v>
      </c>
      <c r="AI92" s="2" t="s">
        <v>784</v>
      </c>
      <c r="AJ92" t="s">
        <v>189</v>
      </c>
      <c r="AK92" s="11">
        <v>46168</v>
      </c>
      <c r="AL92" t="s">
        <v>310</v>
      </c>
      <c r="AM92" s="11">
        <v>46016</v>
      </c>
      <c r="AN92" t="s">
        <v>202</v>
      </c>
      <c r="AO92" s="6">
        <v>2</v>
      </c>
      <c r="AP92" s="12">
        <v>673000</v>
      </c>
      <c r="AQ92" s="12">
        <v>8450</v>
      </c>
      <c r="AR92" s="15" t="s">
        <v>107</v>
      </c>
      <c r="AS92" s="2" t="s">
        <v>766</v>
      </c>
      <c r="AT92" s="2" t="s">
        <v>288</v>
      </c>
    </row>
    <row r="93" spans="1:46" ht="64" x14ac:dyDescent="0.2">
      <c r="A93" t="s">
        <v>785</v>
      </c>
      <c r="B93" t="s">
        <v>637</v>
      </c>
      <c r="C93" t="s">
        <v>747</v>
      </c>
      <c r="D93" t="s">
        <v>773</v>
      </c>
      <c r="E93" t="s">
        <v>749</v>
      </c>
      <c r="F93" t="s">
        <v>749</v>
      </c>
      <c r="G93" t="s">
        <v>189</v>
      </c>
      <c r="H93" t="s">
        <v>313</v>
      </c>
      <c r="I93" t="s">
        <v>314</v>
      </c>
      <c r="J93" s="2" t="s">
        <v>786</v>
      </c>
      <c r="K93" s="2" t="s">
        <v>752</v>
      </c>
      <c r="L93" s="2" t="s">
        <v>316</v>
      </c>
      <c r="M93" s="2" t="s">
        <v>505</v>
      </c>
      <c r="N93" s="4" t="s">
        <v>787</v>
      </c>
      <c r="O93" s="4" t="s">
        <v>296</v>
      </c>
      <c r="P93" s="5">
        <v>0</v>
      </c>
      <c r="Q93" s="5">
        <v>3</v>
      </c>
      <c r="R93" s="5">
        <v>6</v>
      </c>
      <c r="S93" s="5">
        <v>4</v>
      </c>
      <c r="T93" s="6">
        <v>3</v>
      </c>
      <c r="U93" s="6">
        <v>5</v>
      </c>
      <c r="V93">
        <f t="shared" si="10"/>
        <v>15</v>
      </c>
      <c r="W93" t="str">
        <f t="shared" si="11"/>
        <v>Critique</v>
      </c>
      <c r="X93" s="7" t="s">
        <v>319</v>
      </c>
      <c r="Y93" s="8" t="s">
        <v>320</v>
      </c>
      <c r="Z93" s="8" t="s">
        <v>160</v>
      </c>
      <c r="AA93" s="8" t="s">
        <v>163</v>
      </c>
      <c r="AB93" s="6">
        <v>2</v>
      </c>
      <c r="AC93" s="6">
        <v>5</v>
      </c>
      <c r="AD93">
        <f t="shared" si="12"/>
        <v>10</v>
      </c>
      <c r="AE93" s="14" t="str">
        <f t="shared" si="13"/>
        <v>Élevé</v>
      </c>
      <c r="AF93" t="s">
        <v>177</v>
      </c>
      <c r="AG93" s="14" t="str">
        <f t="shared" si="14"/>
        <v>Hors appétit</v>
      </c>
      <c r="AH93" t="s">
        <v>283</v>
      </c>
      <c r="AI93" s="2" t="s">
        <v>788</v>
      </c>
      <c r="AJ93" t="s">
        <v>189</v>
      </c>
      <c r="AK93" s="11">
        <v>46179</v>
      </c>
      <c r="AL93" t="s">
        <v>285</v>
      </c>
      <c r="AM93" s="11">
        <v>46010</v>
      </c>
      <c r="AN93" t="s">
        <v>202</v>
      </c>
      <c r="AO93" s="6">
        <v>2</v>
      </c>
      <c r="AP93" s="12">
        <v>689000</v>
      </c>
      <c r="AQ93" s="12">
        <v>8700</v>
      </c>
      <c r="AR93" s="2" t="s">
        <v>314</v>
      </c>
      <c r="AS93" s="2" t="s">
        <v>771</v>
      </c>
      <c r="AT93" s="2" t="s">
        <v>288</v>
      </c>
    </row>
    <row r="94" spans="1:46" ht="64" x14ac:dyDescent="0.2">
      <c r="A94" t="s">
        <v>789</v>
      </c>
      <c r="B94" t="s">
        <v>637</v>
      </c>
      <c r="C94" t="s">
        <v>747</v>
      </c>
      <c r="D94" t="s">
        <v>790</v>
      </c>
      <c r="E94" t="s">
        <v>749</v>
      </c>
      <c r="F94" t="s">
        <v>749</v>
      </c>
      <c r="G94" t="s">
        <v>791</v>
      </c>
      <c r="H94" t="s">
        <v>274</v>
      </c>
      <c r="I94" t="s">
        <v>275</v>
      </c>
      <c r="J94" s="2" t="s">
        <v>792</v>
      </c>
      <c r="K94" s="2" t="s">
        <v>752</v>
      </c>
      <c r="L94" s="2" t="s">
        <v>278</v>
      </c>
      <c r="M94" s="2" t="s">
        <v>279</v>
      </c>
      <c r="N94" s="4" t="s">
        <v>793</v>
      </c>
      <c r="O94" s="4" t="s">
        <v>281</v>
      </c>
      <c r="P94" s="5">
        <v>1</v>
      </c>
      <c r="Q94" s="5">
        <v>2.5</v>
      </c>
      <c r="R94" s="5">
        <v>4</v>
      </c>
      <c r="S94" s="5">
        <v>2.5</v>
      </c>
      <c r="T94" s="6">
        <v>4</v>
      </c>
      <c r="U94" s="6">
        <v>4</v>
      </c>
      <c r="V94">
        <f t="shared" si="10"/>
        <v>16</v>
      </c>
      <c r="W94" t="str">
        <f t="shared" si="11"/>
        <v>Critique</v>
      </c>
      <c r="X94" s="7" t="s">
        <v>282</v>
      </c>
      <c r="Y94" s="8" t="s">
        <v>157</v>
      </c>
      <c r="Z94" s="8" t="s">
        <v>160</v>
      </c>
      <c r="AA94" s="8" t="s">
        <v>321</v>
      </c>
      <c r="AB94" s="6">
        <v>2</v>
      </c>
      <c r="AC94" s="6">
        <v>3</v>
      </c>
      <c r="AD94">
        <f t="shared" si="12"/>
        <v>6</v>
      </c>
      <c r="AE94" s="9" t="str">
        <f t="shared" si="13"/>
        <v>Modéré</v>
      </c>
      <c r="AF94" t="s">
        <v>174</v>
      </c>
      <c r="AG94" s="10" t="str">
        <f t="shared" si="14"/>
        <v>Dans lappétit</v>
      </c>
      <c r="AH94" t="s">
        <v>322</v>
      </c>
      <c r="AI94" s="2" t="s">
        <v>794</v>
      </c>
      <c r="AJ94" t="s">
        <v>791</v>
      </c>
      <c r="AK94" s="11">
        <v>46190</v>
      </c>
      <c r="AL94" t="s">
        <v>196</v>
      </c>
      <c r="AM94" s="11">
        <v>46004</v>
      </c>
      <c r="AN94" t="s">
        <v>286</v>
      </c>
      <c r="AO94" s="6">
        <v>3</v>
      </c>
      <c r="AP94" s="12">
        <v>490000</v>
      </c>
      <c r="AQ94" s="12">
        <v>8300</v>
      </c>
      <c r="AR94" s="2" t="s">
        <v>275</v>
      </c>
      <c r="AS94" s="2" t="s">
        <v>755</v>
      </c>
      <c r="AT94" s="2" t="s">
        <v>288</v>
      </c>
    </row>
    <row r="95" spans="1:46" ht="64" x14ac:dyDescent="0.2">
      <c r="A95" t="s">
        <v>795</v>
      </c>
      <c r="B95" t="s">
        <v>637</v>
      </c>
      <c r="C95" t="s">
        <v>747</v>
      </c>
      <c r="D95" t="s">
        <v>790</v>
      </c>
      <c r="E95" t="s">
        <v>749</v>
      </c>
      <c r="F95" t="s">
        <v>749</v>
      </c>
      <c r="G95" t="s">
        <v>791</v>
      </c>
      <c r="H95" t="s">
        <v>290</v>
      </c>
      <c r="I95" t="s">
        <v>757</v>
      </c>
      <c r="J95" s="2" t="s">
        <v>796</v>
      </c>
      <c r="K95" s="2" t="s">
        <v>752</v>
      </c>
      <c r="L95" s="2" t="s">
        <v>293</v>
      </c>
      <c r="M95" s="2" t="s">
        <v>294</v>
      </c>
      <c r="N95" s="4" t="s">
        <v>797</v>
      </c>
      <c r="O95" s="4" t="s">
        <v>296</v>
      </c>
      <c r="P95" s="5">
        <v>0</v>
      </c>
      <c r="Q95" s="5">
        <v>2</v>
      </c>
      <c r="R95" s="5">
        <v>4</v>
      </c>
      <c r="S95" s="5">
        <v>4</v>
      </c>
      <c r="T95" s="6">
        <v>3</v>
      </c>
      <c r="U95" s="6">
        <v>5</v>
      </c>
      <c r="V95">
        <f t="shared" si="10"/>
        <v>15</v>
      </c>
      <c r="W95" t="str">
        <f t="shared" si="11"/>
        <v>Critique</v>
      </c>
      <c r="X95" s="7" t="s">
        <v>297</v>
      </c>
      <c r="Y95" s="8" t="s">
        <v>298</v>
      </c>
      <c r="Z95" s="8" t="s">
        <v>202</v>
      </c>
      <c r="AA95" s="8" t="s">
        <v>321</v>
      </c>
      <c r="AB95" s="6">
        <v>2</v>
      </c>
      <c r="AC95" s="6">
        <v>4</v>
      </c>
      <c r="AD95">
        <f t="shared" si="12"/>
        <v>8</v>
      </c>
      <c r="AE95" s="9" t="str">
        <f t="shared" si="13"/>
        <v>Modéré</v>
      </c>
      <c r="AF95" t="s">
        <v>177</v>
      </c>
      <c r="AG95" s="14" t="str">
        <f t="shared" si="14"/>
        <v>Hors appétit</v>
      </c>
      <c r="AH95" t="s">
        <v>283</v>
      </c>
      <c r="AI95" s="2" t="s">
        <v>798</v>
      </c>
      <c r="AJ95" t="s">
        <v>791</v>
      </c>
      <c r="AK95" s="11">
        <v>46201</v>
      </c>
      <c r="AL95" t="s">
        <v>300</v>
      </c>
      <c r="AM95" s="11">
        <v>45998</v>
      </c>
      <c r="AN95" t="s">
        <v>286</v>
      </c>
      <c r="AO95" s="6">
        <v>1</v>
      </c>
      <c r="AP95" s="12">
        <v>479000</v>
      </c>
      <c r="AQ95" s="12">
        <v>8550</v>
      </c>
      <c r="AR95" s="2" t="s">
        <v>757</v>
      </c>
      <c r="AS95" s="2" t="s">
        <v>761</v>
      </c>
      <c r="AT95" s="2" t="s">
        <v>288</v>
      </c>
    </row>
    <row r="96" spans="1:46" ht="64" x14ac:dyDescent="0.2">
      <c r="A96" t="s">
        <v>799</v>
      </c>
      <c r="B96" t="s">
        <v>637</v>
      </c>
      <c r="C96" t="s">
        <v>747</v>
      </c>
      <c r="D96" t="s">
        <v>790</v>
      </c>
      <c r="E96" t="s">
        <v>749</v>
      </c>
      <c r="F96" t="s">
        <v>749</v>
      </c>
      <c r="G96" t="s">
        <v>791</v>
      </c>
      <c r="H96" t="s">
        <v>104</v>
      </c>
      <c r="I96" t="s">
        <v>107</v>
      </c>
      <c r="J96" s="2" t="s">
        <v>800</v>
      </c>
      <c r="K96" s="2" t="s">
        <v>752</v>
      </c>
      <c r="L96" s="2" t="s">
        <v>304</v>
      </c>
      <c r="M96" s="2" t="s">
        <v>305</v>
      </c>
      <c r="N96" s="4" t="s">
        <v>801</v>
      </c>
      <c r="O96" s="4" t="s">
        <v>296</v>
      </c>
      <c r="P96" s="5">
        <v>0</v>
      </c>
      <c r="Q96" s="5">
        <v>1</v>
      </c>
      <c r="R96" s="5">
        <v>3</v>
      </c>
      <c r="S96" s="5">
        <v>1</v>
      </c>
      <c r="T96" s="6">
        <v>4</v>
      </c>
      <c r="U96" s="6">
        <v>5</v>
      </c>
      <c r="V96">
        <f t="shared" si="10"/>
        <v>20</v>
      </c>
      <c r="W96" t="str">
        <f t="shared" si="11"/>
        <v>Critique</v>
      </c>
      <c r="X96" s="7" t="s">
        <v>307</v>
      </c>
      <c r="Y96" s="8" t="s">
        <v>157</v>
      </c>
      <c r="Z96" s="8" t="s">
        <v>160</v>
      </c>
      <c r="AA96" s="8" t="s">
        <v>177</v>
      </c>
      <c r="AB96" s="6">
        <v>4</v>
      </c>
      <c r="AC96" s="6">
        <v>5</v>
      </c>
      <c r="AD96">
        <f t="shared" si="12"/>
        <v>20</v>
      </c>
      <c r="AE96" s="13" t="str">
        <f t="shared" si="13"/>
        <v>Critique</v>
      </c>
      <c r="AF96" t="s">
        <v>177</v>
      </c>
      <c r="AG96" s="14" t="str">
        <f t="shared" si="14"/>
        <v>Hors appétit</v>
      </c>
      <c r="AH96" t="s">
        <v>308</v>
      </c>
      <c r="AI96" s="2" t="s">
        <v>802</v>
      </c>
      <c r="AJ96" t="s">
        <v>791</v>
      </c>
      <c r="AK96" s="11">
        <v>46212</v>
      </c>
      <c r="AL96" t="s">
        <v>285</v>
      </c>
      <c r="AM96" s="11">
        <v>45992</v>
      </c>
      <c r="AN96" t="s">
        <v>160</v>
      </c>
      <c r="AO96" s="6">
        <v>3</v>
      </c>
      <c r="AP96" s="12">
        <v>840000</v>
      </c>
      <c r="AQ96" s="12">
        <v>8800</v>
      </c>
      <c r="AR96" s="15" t="s">
        <v>107</v>
      </c>
      <c r="AS96" s="2" t="s">
        <v>766</v>
      </c>
      <c r="AT96" s="2" t="s">
        <v>288</v>
      </c>
    </row>
    <row r="97" spans="1:46" ht="64" x14ac:dyDescent="0.2">
      <c r="A97" t="s">
        <v>803</v>
      </c>
      <c r="B97" t="s">
        <v>637</v>
      </c>
      <c r="C97" t="s">
        <v>747</v>
      </c>
      <c r="D97" t="s">
        <v>790</v>
      </c>
      <c r="E97" t="s">
        <v>749</v>
      </c>
      <c r="F97" t="s">
        <v>749</v>
      </c>
      <c r="G97" t="s">
        <v>791</v>
      </c>
      <c r="H97" t="s">
        <v>313</v>
      </c>
      <c r="I97" t="s">
        <v>314</v>
      </c>
      <c r="J97" s="2" t="s">
        <v>804</v>
      </c>
      <c r="K97" s="2" t="s">
        <v>752</v>
      </c>
      <c r="L97" s="2" t="s">
        <v>316</v>
      </c>
      <c r="M97" s="2" t="s">
        <v>505</v>
      </c>
      <c r="N97" s="4" t="s">
        <v>805</v>
      </c>
      <c r="O97" s="4" t="s">
        <v>296</v>
      </c>
      <c r="P97" s="5">
        <v>0</v>
      </c>
      <c r="Q97" s="5">
        <v>3</v>
      </c>
      <c r="R97" s="5">
        <v>6</v>
      </c>
      <c r="S97" s="5">
        <v>3</v>
      </c>
      <c r="T97" s="6">
        <v>3</v>
      </c>
      <c r="U97" s="6">
        <v>5</v>
      </c>
      <c r="V97">
        <f t="shared" si="10"/>
        <v>15</v>
      </c>
      <c r="W97" t="str">
        <f t="shared" si="11"/>
        <v>Critique</v>
      </c>
      <c r="X97" s="7" t="s">
        <v>319</v>
      </c>
      <c r="Y97" s="8" t="s">
        <v>320</v>
      </c>
      <c r="Z97" s="8" t="s">
        <v>160</v>
      </c>
      <c r="AA97" s="8" t="s">
        <v>177</v>
      </c>
      <c r="AB97" s="6">
        <v>3</v>
      </c>
      <c r="AC97" s="6">
        <v>5</v>
      </c>
      <c r="AD97">
        <f t="shared" si="12"/>
        <v>15</v>
      </c>
      <c r="AE97" s="13" t="str">
        <f t="shared" si="13"/>
        <v>Critique</v>
      </c>
      <c r="AF97" t="s">
        <v>177</v>
      </c>
      <c r="AG97" s="14" t="str">
        <f t="shared" si="14"/>
        <v>Hors appétit</v>
      </c>
      <c r="AH97" t="s">
        <v>283</v>
      </c>
      <c r="AI97" s="2" t="s">
        <v>806</v>
      </c>
      <c r="AJ97" t="s">
        <v>791</v>
      </c>
      <c r="AK97" s="11">
        <v>46223</v>
      </c>
      <c r="AL97" t="s">
        <v>285</v>
      </c>
      <c r="AM97" s="11">
        <v>45986</v>
      </c>
      <c r="AN97" t="s">
        <v>160</v>
      </c>
      <c r="AO97" s="6">
        <v>2</v>
      </c>
      <c r="AP97" s="12">
        <v>701000</v>
      </c>
      <c r="AQ97" s="12">
        <v>9050</v>
      </c>
      <c r="AR97" s="2" t="s">
        <v>314</v>
      </c>
      <c r="AS97" s="2" t="s">
        <v>771</v>
      </c>
      <c r="AT97" s="2" t="s">
        <v>288</v>
      </c>
    </row>
    <row r="98" spans="1:46" ht="48" x14ac:dyDescent="0.2">
      <c r="A98" t="s">
        <v>807</v>
      </c>
      <c r="B98" t="s">
        <v>808</v>
      </c>
      <c r="C98" t="s">
        <v>809</v>
      </c>
      <c r="D98" t="s">
        <v>810</v>
      </c>
      <c r="E98" t="s">
        <v>811</v>
      </c>
      <c r="F98" t="s">
        <v>812</v>
      </c>
      <c r="G98" t="s">
        <v>813</v>
      </c>
      <c r="H98" t="s">
        <v>274</v>
      </c>
      <c r="I98" t="s">
        <v>275</v>
      </c>
      <c r="J98" s="2" t="s">
        <v>814</v>
      </c>
      <c r="K98" s="2" t="s">
        <v>815</v>
      </c>
      <c r="L98" s="2" t="s">
        <v>278</v>
      </c>
      <c r="M98" s="2" t="s">
        <v>279</v>
      </c>
      <c r="N98" s="4" t="s">
        <v>816</v>
      </c>
      <c r="O98" s="4" t="s">
        <v>281</v>
      </c>
      <c r="P98" s="5">
        <v>1</v>
      </c>
      <c r="Q98" s="5">
        <v>2.5</v>
      </c>
      <c r="R98" s="5">
        <v>4</v>
      </c>
      <c r="S98" s="5">
        <v>2.7</v>
      </c>
      <c r="T98" s="6">
        <v>3</v>
      </c>
      <c r="U98" s="6">
        <v>5</v>
      </c>
      <c r="V98">
        <f t="shared" ref="V98:V129" si="15">T98*U98</f>
        <v>15</v>
      </c>
      <c r="W98" t="str">
        <f t="shared" ref="W98:W129" si="16">IF(V98&gt;=15,"Critique",IF(V98&gt;=10,"Élevé",IF(V98&gt;=6,"Modéré","Faible")))</f>
        <v>Critique</v>
      </c>
      <c r="X98" s="7" t="s">
        <v>282</v>
      </c>
      <c r="Y98" s="8" t="s">
        <v>157</v>
      </c>
      <c r="Z98" s="8" t="s">
        <v>160</v>
      </c>
      <c r="AA98" s="8" t="s">
        <v>163</v>
      </c>
      <c r="AB98" s="6">
        <v>2</v>
      </c>
      <c r="AC98" s="6">
        <v>5</v>
      </c>
      <c r="AD98">
        <f t="shared" ref="AD98:AD129" si="17">AB98*AC98</f>
        <v>10</v>
      </c>
      <c r="AE98" s="14" t="str">
        <f t="shared" ref="AE98:AE129" si="18">IF(AD98&gt;=15,"Critique",IF(AD98&gt;=10,"Élevé",IF(AD98&gt;=6,"Modéré","Faible")))</f>
        <v>Élevé</v>
      </c>
      <c r="AF98" t="s">
        <v>174</v>
      </c>
      <c r="AG98" s="14" t="str">
        <f t="shared" ref="AG98:AG129" si="19">IF(AD98&lt;=IF(AF98="Faible",6,IF(AF98="Modéré",9,12)),"Dans lappétit","Hors appétit")</f>
        <v>Hors appétit</v>
      </c>
      <c r="AH98" t="s">
        <v>283</v>
      </c>
      <c r="AI98" s="2" t="s">
        <v>817</v>
      </c>
      <c r="AJ98" t="s">
        <v>813</v>
      </c>
      <c r="AK98" s="11">
        <v>46234</v>
      </c>
      <c r="AL98" t="s">
        <v>196</v>
      </c>
      <c r="AM98" s="11">
        <v>45980</v>
      </c>
      <c r="AN98" t="s">
        <v>202</v>
      </c>
      <c r="AO98" s="6">
        <v>3</v>
      </c>
      <c r="AP98" s="12">
        <v>465000</v>
      </c>
      <c r="AQ98" s="12">
        <v>8300</v>
      </c>
      <c r="AR98" s="2" t="s">
        <v>275</v>
      </c>
      <c r="AS98" s="2" t="s">
        <v>818</v>
      </c>
      <c r="AT98" s="2" t="s">
        <v>288</v>
      </c>
    </row>
    <row r="99" spans="1:46" ht="64" x14ac:dyDescent="0.2">
      <c r="A99" t="s">
        <v>819</v>
      </c>
      <c r="B99" t="s">
        <v>808</v>
      </c>
      <c r="C99" t="s">
        <v>809</v>
      </c>
      <c r="D99" t="s">
        <v>810</v>
      </c>
      <c r="E99" t="s">
        <v>811</v>
      </c>
      <c r="F99" t="s">
        <v>812</v>
      </c>
      <c r="G99" t="s">
        <v>813</v>
      </c>
      <c r="H99" t="s">
        <v>290</v>
      </c>
      <c r="I99" t="s">
        <v>373</v>
      </c>
      <c r="J99" s="2" t="s">
        <v>820</v>
      </c>
      <c r="K99" s="2" t="s">
        <v>815</v>
      </c>
      <c r="L99" s="2" t="s">
        <v>293</v>
      </c>
      <c r="M99" s="2" t="s">
        <v>821</v>
      </c>
      <c r="N99" s="4" t="s">
        <v>822</v>
      </c>
      <c r="O99" s="4" t="s">
        <v>296</v>
      </c>
      <c r="P99" s="5">
        <v>0</v>
      </c>
      <c r="Q99" s="5">
        <v>2</v>
      </c>
      <c r="R99" s="5">
        <v>4</v>
      </c>
      <c r="S99" s="5">
        <v>4</v>
      </c>
      <c r="T99" s="6">
        <v>3</v>
      </c>
      <c r="U99" s="6">
        <v>5</v>
      </c>
      <c r="V99">
        <f t="shared" si="15"/>
        <v>15</v>
      </c>
      <c r="W99" t="str">
        <f t="shared" si="16"/>
        <v>Critique</v>
      </c>
      <c r="X99" s="7" t="s">
        <v>297</v>
      </c>
      <c r="Y99" s="8" t="s">
        <v>298</v>
      </c>
      <c r="Z99" s="8" t="s">
        <v>202</v>
      </c>
      <c r="AA99" s="8" t="s">
        <v>177</v>
      </c>
      <c r="AB99" s="6">
        <v>3</v>
      </c>
      <c r="AC99" s="6">
        <v>5</v>
      </c>
      <c r="AD99">
        <f t="shared" si="17"/>
        <v>15</v>
      </c>
      <c r="AE99" s="13" t="str">
        <f t="shared" si="18"/>
        <v>Critique</v>
      </c>
      <c r="AF99" t="s">
        <v>177</v>
      </c>
      <c r="AG99" s="14" t="str">
        <f t="shared" si="19"/>
        <v>Hors appétit</v>
      </c>
      <c r="AH99" t="s">
        <v>283</v>
      </c>
      <c r="AI99" s="2" t="s">
        <v>823</v>
      </c>
      <c r="AJ99" t="s">
        <v>813</v>
      </c>
      <c r="AK99" s="11">
        <v>46245</v>
      </c>
      <c r="AL99" t="s">
        <v>300</v>
      </c>
      <c r="AM99" s="11">
        <v>45974</v>
      </c>
      <c r="AN99" t="s">
        <v>160</v>
      </c>
      <c r="AO99" s="6">
        <v>2</v>
      </c>
      <c r="AP99" s="12">
        <v>476000</v>
      </c>
      <c r="AQ99" s="12">
        <v>8550</v>
      </c>
      <c r="AR99" s="2" t="s">
        <v>373</v>
      </c>
      <c r="AS99" s="2" t="s">
        <v>824</v>
      </c>
      <c r="AT99" s="2" t="s">
        <v>288</v>
      </c>
    </row>
    <row r="100" spans="1:46" ht="64" x14ac:dyDescent="0.2">
      <c r="A100" t="s">
        <v>825</v>
      </c>
      <c r="B100" t="s">
        <v>808</v>
      </c>
      <c r="C100" t="s">
        <v>809</v>
      </c>
      <c r="D100" t="s">
        <v>810</v>
      </c>
      <c r="E100" t="s">
        <v>811</v>
      </c>
      <c r="F100" t="s">
        <v>812</v>
      </c>
      <c r="G100" t="s">
        <v>813</v>
      </c>
      <c r="H100" t="s">
        <v>104</v>
      </c>
      <c r="I100" t="s">
        <v>826</v>
      </c>
      <c r="J100" s="2" t="s">
        <v>827</v>
      </c>
      <c r="K100" s="2" t="s">
        <v>815</v>
      </c>
      <c r="L100" s="2" t="s">
        <v>304</v>
      </c>
      <c r="M100" s="2" t="s">
        <v>305</v>
      </c>
      <c r="N100" s="4" t="s">
        <v>828</v>
      </c>
      <c r="O100" s="4" t="s">
        <v>296</v>
      </c>
      <c r="P100" s="5">
        <v>0</v>
      </c>
      <c r="Q100" s="5">
        <v>1</v>
      </c>
      <c r="R100" s="5">
        <v>3</v>
      </c>
      <c r="S100" s="5">
        <v>3</v>
      </c>
      <c r="T100" s="6">
        <v>3</v>
      </c>
      <c r="U100" s="6">
        <v>5</v>
      </c>
      <c r="V100">
        <f t="shared" si="15"/>
        <v>15</v>
      </c>
      <c r="W100" t="str">
        <f t="shared" si="16"/>
        <v>Critique</v>
      </c>
      <c r="X100" s="7" t="s">
        <v>307</v>
      </c>
      <c r="Y100" s="8" t="s">
        <v>157</v>
      </c>
      <c r="Z100" s="8" t="s">
        <v>160</v>
      </c>
      <c r="AA100" s="8" t="s">
        <v>163</v>
      </c>
      <c r="AB100" s="6">
        <v>2</v>
      </c>
      <c r="AC100" s="6">
        <v>5</v>
      </c>
      <c r="AD100">
        <f t="shared" si="17"/>
        <v>10</v>
      </c>
      <c r="AE100" s="14" t="str">
        <f t="shared" si="18"/>
        <v>Élevé</v>
      </c>
      <c r="AF100" t="s">
        <v>177</v>
      </c>
      <c r="AG100" s="14" t="str">
        <f t="shared" si="19"/>
        <v>Hors appétit</v>
      </c>
      <c r="AH100" t="s">
        <v>308</v>
      </c>
      <c r="AI100" s="2" t="s">
        <v>829</v>
      </c>
      <c r="AJ100" t="s">
        <v>813</v>
      </c>
      <c r="AK100" s="11">
        <v>46256</v>
      </c>
      <c r="AL100" t="s">
        <v>310</v>
      </c>
      <c r="AM100" s="11">
        <v>45968</v>
      </c>
      <c r="AN100" t="s">
        <v>202</v>
      </c>
      <c r="AO100" s="6">
        <v>2</v>
      </c>
      <c r="AP100" s="12">
        <v>682000</v>
      </c>
      <c r="AQ100" s="12">
        <v>8800</v>
      </c>
      <c r="AR100" s="15" t="s">
        <v>826</v>
      </c>
      <c r="AS100" s="2" t="s">
        <v>830</v>
      </c>
      <c r="AT100" s="2" t="s">
        <v>288</v>
      </c>
    </row>
    <row r="101" spans="1:46" ht="64" x14ac:dyDescent="0.2">
      <c r="A101" t="s">
        <v>831</v>
      </c>
      <c r="B101" t="s">
        <v>808</v>
      </c>
      <c r="C101" t="s">
        <v>809</v>
      </c>
      <c r="D101" t="s">
        <v>810</v>
      </c>
      <c r="E101" t="s">
        <v>811</v>
      </c>
      <c r="F101" t="s">
        <v>812</v>
      </c>
      <c r="G101" t="s">
        <v>813</v>
      </c>
      <c r="H101" t="s">
        <v>313</v>
      </c>
      <c r="I101" t="s">
        <v>314</v>
      </c>
      <c r="J101" s="2" t="s">
        <v>832</v>
      </c>
      <c r="K101" s="2" t="s">
        <v>815</v>
      </c>
      <c r="L101" s="2" t="s">
        <v>316</v>
      </c>
      <c r="M101" s="2" t="s">
        <v>505</v>
      </c>
      <c r="N101" s="4" t="s">
        <v>833</v>
      </c>
      <c r="O101" s="4" t="s">
        <v>296</v>
      </c>
      <c r="P101" s="5">
        <v>0</v>
      </c>
      <c r="Q101" s="5">
        <v>3</v>
      </c>
      <c r="R101" s="5">
        <v>6</v>
      </c>
      <c r="S101" s="5">
        <v>2</v>
      </c>
      <c r="T101" s="6">
        <v>2</v>
      </c>
      <c r="U101" s="6">
        <v>5</v>
      </c>
      <c r="V101">
        <f t="shared" si="15"/>
        <v>10</v>
      </c>
      <c r="W101" t="str">
        <f t="shared" si="16"/>
        <v>Élevé</v>
      </c>
      <c r="X101" s="7" t="s">
        <v>319</v>
      </c>
      <c r="Y101" s="8" t="s">
        <v>320</v>
      </c>
      <c r="Z101" s="8" t="s">
        <v>160</v>
      </c>
      <c r="AA101" s="8" t="s">
        <v>321</v>
      </c>
      <c r="AB101" s="6">
        <v>1</v>
      </c>
      <c r="AC101" s="6">
        <v>4</v>
      </c>
      <c r="AD101">
        <f t="shared" si="17"/>
        <v>4</v>
      </c>
      <c r="AE101" s="10" t="str">
        <f t="shared" si="18"/>
        <v>Faible</v>
      </c>
      <c r="AF101" t="s">
        <v>177</v>
      </c>
      <c r="AG101" s="10" t="str">
        <f t="shared" si="19"/>
        <v>Dans lappétit</v>
      </c>
      <c r="AH101" t="s">
        <v>322</v>
      </c>
      <c r="AI101" s="2" t="s">
        <v>834</v>
      </c>
      <c r="AJ101" t="s">
        <v>813</v>
      </c>
      <c r="AK101" s="11">
        <v>46267</v>
      </c>
      <c r="AL101" t="s">
        <v>310</v>
      </c>
      <c r="AM101" s="11">
        <v>46082</v>
      </c>
      <c r="AN101" t="s">
        <v>286</v>
      </c>
      <c r="AO101" s="6">
        <v>0</v>
      </c>
      <c r="AP101" s="12">
        <v>543000</v>
      </c>
      <c r="AQ101" s="12">
        <v>9050</v>
      </c>
      <c r="AR101" s="2" t="s">
        <v>314</v>
      </c>
      <c r="AS101" s="2" t="s">
        <v>835</v>
      </c>
      <c r="AT101" s="2" t="s">
        <v>288</v>
      </c>
    </row>
    <row r="102" spans="1:46" ht="48" x14ac:dyDescent="0.2">
      <c r="A102" t="s">
        <v>836</v>
      </c>
      <c r="B102" t="s">
        <v>808</v>
      </c>
      <c r="C102" t="s">
        <v>809</v>
      </c>
      <c r="D102" t="s">
        <v>837</v>
      </c>
      <c r="E102" t="s">
        <v>811</v>
      </c>
      <c r="F102" t="s">
        <v>812</v>
      </c>
      <c r="G102" t="s">
        <v>838</v>
      </c>
      <c r="H102" t="s">
        <v>274</v>
      </c>
      <c r="I102" t="s">
        <v>275</v>
      </c>
      <c r="J102" s="2" t="s">
        <v>839</v>
      </c>
      <c r="K102" s="2" t="s">
        <v>815</v>
      </c>
      <c r="L102" s="2" t="s">
        <v>278</v>
      </c>
      <c r="M102" s="2" t="s">
        <v>279</v>
      </c>
      <c r="N102" s="4" t="s">
        <v>840</v>
      </c>
      <c r="O102" s="4" t="s">
        <v>281</v>
      </c>
      <c r="P102" s="5">
        <v>1</v>
      </c>
      <c r="Q102" s="5">
        <v>2.5</v>
      </c>
      <c r="R102" s="5">
        <v>4</v>
      </c>
      <c r="S102" s="5">
        <v>2.5</v>
      </c>
      <c r="T102" s="6">
        <v>3</v>
      </c>
      <c r="U102" s="6">
        <v>5</v>
      </c>
      <c r="V102">
        <f t="shared" si="15"/>
        <v>15</v>
      </c>
      <c r="W102" t="str">
        <f t="shared" si="16"/>
        <v>Critique</v>
      </c>
      <c r="X102" s="7" t="s">
        <v>282</v>
      </c>
      <c r="Y102" s="8" t="s">
        <v>157</v>
      </c>
      <c r="Z102" s="8" t="s">
        <v>160</v>
      </c>
      <c r="AA102" s="8" t="s">
        <v>177</v>
      </c>
      <c r="AB102" s="6">
        <v>3</v>
      </c>
      <c r="AC102" s="6">
        <v>5</v>
      </c>
      <c r="AD102">
        <f t="shared" si="17"/>
        <v>15</v>
      </c>
      <c r="AE102" s="13" t="str">
        <f t="shared" si="18"/>
        <v>Critique</v>
      </c>
      <c r="AF102" t="s">
        <v>174</v>
      </c>
      <c r="AG102" s="14" t="str">
        <f t="shared" si="19"/>
        <v>Hors appétit</v>
      </c>
      <c r="AH102" t="s">
        <v>283</v>
      </c>
      <c r="AI102" s="2" t="s">
        <v>841</v>
      </c>
      <c r="AJ102" t="s">
        <v>838</v>
      </c>
      <c r="AK102" s="11">
        <v>46278</v>
      </c>
      <c r="AL102" t="s">
        <v>196</v>
      </c>
      <c r="AM102" s="11">
        <v>46076</v>
      </c>
      <c r="AN102" t="s">
        <v>160</v>
      </c>
      <c r="AO102" s="6">
        <v>3</v>
      </c>
      <c r="AP102" s="12">
        <v>474000</v>
      </c>
      <c r="AQ102" s="12">
        <v>8650</v>
      </c>
      <c r="AR102" s="2" t="s">
        <v>275</v>
      </c>
      <c r="AS102" s="2" t="s">
        <v>818</v>
      </c>
      <c r="AT102" s="2" t="s">
        <v>288</v>
      </c>
    </row>
    <row r="103" spans="1:46" ht="64" x14ac:dyDescent="0.2">
      <c r="A103" t="s">
        <v>842</v>
      </c>
      <c r="B103" t="s">
        <v>808</v>
      </c>
      <c r="C103" t="s">
        <v>809</v>
      </c>
      <c r="D103" t="s">
        <v>837</v>
      </c>
      <c r="E103" t="s">
        <v>811</v>
      </c>
      <c r="F103" t="s">
        <v>812</v>
      </c>
      <c r="G103" t="s">
        <v>838</v>
      </c>
      <c r="H103" t="s">
        <v>290</v>
      </c>
      <c r="I103" t="s">
        <v>373</v>
      </c>
      <c r="J103" s="2" t="s">
        <v>843</v>
      </c>
      <c r="K103" s="2" t="s">
        <v>815</v>
      </c>
      <c r="L103" s="2" t="s">
        <v>293</v>
      </c>
      <c r="M103" s="2" t="s">
        <v>821</v>
      </c>
      <c r="N103" s="4" t="s">
        <v>844</v>
      </c>
      <c r="O103" s="4" t="s">
        <v>296</v>
      </c>
      <c r="P103" s="5">
        <v>0</v>
      </c>
      <c r="Q103" s="5">
        <v>2</v>
      </c>
      <c r="R103" s="5">
        <v>4</v>
      </c>
      <c r="S103" s="5">
        <v>3</v>
      </c>
      <c r="T103" s="6">
        <v>3</v>
      </c>
      <c r="U103" s="6">
        <v>5</v>
      </c>
      <c r="V103">
        <f t="shared" si="15"/>
        <v>15</v>
      </c>
      <c r="W103" t="str">
        <f t="shared" si="16"/>
        <v>Critique</v>
      </c>
      <c r="X103" s="7" t="s">
        <v>297</v>
      </c>
      <c r="Y103" s="8" t="s">
        <v>298</v>
      </c>
      <c r="Z103" s="8" t="s">
        <v>202</v>
      </c>
      <c r="AA103" s="8" t="s">
        <v>163</v>
      </c>
      <c r="AB103" s="6">
        <v>2</v>
      </c>
      <c r="AC103" s="6">
        <v>5</v>
      </c>
      <c r="AD103">
        <f t="shared" si="17"/>
        <v>10</v>
      </c>
      <c r="AE103" s="14" t="str">
        <f t="shared" si="18"/>
        <v>Élevé</v>
      </c>
      <c r="AF103" t="s">
        <v>177</v>
      </c>
      <c r="AG103" s="14" t="str">
        <f t="shared" si="19"/>
        <v>Hors appétit</v>
      </c>
      <c r="AH103" t="s">
        <v>283</v>
      </c>
      <c r="AI103" s="2" t="s">
        <v>845</v>
      </c>
      <c r="AJ103" t="s">
        <v>838</v>
      </c>
      <c r="AK103" s="11">
        <v>46289</v>
      </c>
      <c r="AL103" t="s">
        <v>300</v>
      </c>
      <c r="AM103" s="11">
        <v>46070</v>
      </c>
      <c r="AN103" t="s">
        <v>202</v>
      </c>
      <c r="AO103" s="6">
        <v>2</v>
      </c>
      <c r="AP103" s="12">
        <v>485000</v>
      </c>
      <c r="AQ103" s="12">
        <v>8900</v>
      </c>
      <c r="AR103" s="2" t="s">
        <v>373</v>
      </c>
      <c r="AS103" s="2" t="s">
        <v>824</v>
      </c>
      <c r="AT103" s="2" t="s">
        <v>288</v>
      </c>
    </row>
    <row r="104" spans="1:46" ht="64" x14ac:dyDescent="0.2">
      <c r="A104" t="s">
        <v>846</v>
      </c>
      <c r="B104" t="s">
        <v>808</v>
      </c>
      <c r="C104" t="s">
        <v>809</v>
      </c>
      <c r="D104" t="s">
        <v>837</v>
      </c>
      <c r="E104" t="s">
        <v>811</v>
      </c>
      <c r="F104" t="s">
        <v>812</v>
      </c>
      <c r="G104" t="s">
        <v>838</v>
      </c>
      <c r="H104" t="s">
        <v>104</v>
      </c>
      <c r="I104" t="s">
        <v>826</v>
      </c>
      <c r="J104" s="2" t="s">
        <v>847</v>
      </c>
      <c r="K104" s="2" t="s">
        <v>815</v>
      </c>
      <c r="L104" s="2" t="s">
        <v>304</v>
      </c>
      <c r="M104" s="2" t="s">
        <v>305</v>
      </c>
      <c r="N104" s="4" t="s">
        <v>848</v>
      </c>
      <c r="O104" s="4" t="s">
        <v>296</v>
      </c>
      <c r="P104" s="5">
        <v>0</v>
      </c>
      <c r="Q104" s="5">
        <v>1</v>
      </c>
      <c r="R104" s="5">
        <v>3</v>
      </c>
      <c r="S104" s="5">
        <v>3</v>
      </c>
      <c r="T104" s="6">
        <v>3</v>
      </c>
      <c r="U104" s="6">
        <v>5</v>
      </c>
      <c r="V104">
        <f t="shared" si="15"/>
        <v>15</v>
      </c>
      <c r="W104" t="str">
        <f t="shared" si="16"/>
        <v>Critique</v>
      </c>
      <c r="X104" s="7" t="s">
        <v>307</v>
      </c>
      <c r="Y104" s="8" t="s">
        <v>157</v>
      </c>
      <c r="Z104" s="8" t="s">
        <v>160</v>
      </c>
      <c r="AA104" s="8" t="s">
        <v>163</v>
      </c>
      <c r="AB104" s="6">
        <v>2</v>
      </c>
      <c r="AC104" s="6">
        <v>5</v>
      </c>
      <c r="AD104">
        <f t="shared" si="17"/>
        <v>10</v>
      </c>
      <c r="AE104" s="14" t="str">
        <f t="shared" si="18"/>
        <v>Élevé</v>
      </c>
      <c r="AF104" t="s">
        <v>177</v>
      </c>
      <c r="AG104" s="14" t="str">
        <f t="shared" si="19"/>
        <v>Hors appétit</v>
      </c>
      <c r="AH104" t="s">
        <v>308</v>
      </c>
      <c r="AI104" s="2" t="s">
        <v>849</v>
      </c>
      <c r="AJ104" t="s">
        <v>838</v>
      </c>
      <c r="AK104" s="11">
        <v>46300</v>
      </c>
      <c r="AL104" t="s">
        <v>310</v>
      </c>
      <c r="AM104" s="11">
        <v>46064</v>
      </c>
      <c r="AN104" t="s">
        <v>202</v>
      </c>
      <c r="AO104" s="6">
        <v>2</v>
      </c>
      <c r="AP104" s="12">
        <v>694000</v>
      </c>
      <c r="AQ104" s="12">
        <v>9150</v>
      </c>
      <c r="AR104" s="15" t="s">
        <v>826</v>
      </c>
      <c r="AS104" s="2" t="s">
        <v>830</v>
      </c>
      <c r="AT104" s="2" t="s">
        <v>288</v>
      </c>
    </row>
    <row r="105" spans="1:46" ht="64" x14ac:dyDescent="0.2">
      <c r="A105" t="s">
        <v>850</v>
      </c>
      <c r="B105" t="s">
        <v>808</v>
      </c>
      <c r="C105" t="s">
        <v>809</v>
      </c>
      <c r="D105" t="s">
        <v>837</v>
      </c>
      <c r="E105" t="s">
        <v>811</v>
      </c>
      <c r="F105" t="s">
        <v>812</v>
      </c>
      <c r="G105" t="s">
        <v>838</v>
      </c>
      <c r="H105" t="s">
        <v>313</v>
      </c>
      <c r="I105" t="s">
        <v>314</v>
      </c>
      <c r="J105" s="2" t="s">
        <v>851</v>
      </c>
      <c r="K105" s="2" t="s">
        <v>815</v>
      </c>
      <c r="L105" s="2" t="s">
        <v>316</v>
      </c>
      <c r="M105" s="2" t="s">
        <v>505</v>
      </c>
      <c r="N105" s="4" t="s">
        <v>852</v>
      </c>
      <c r="O105" s="4" t="s">
        <v>296</v>
      </c>
      <c r="P105" s="5">
        <v>0</v>
      </c>
      <c r="Q105" s="5">
        <v>3</v>
      </c>
      <c r="R105" s="5">
        <v>6</v>
      </c>
      <c r="S105" s="5">
        <v>4</v>
      </c>
      <c r="T105" s="6">
        <v>2</v>
      </c>
      <c r="U105" s="6">
        <v>5</v>
      </c>
      <c r="V105">
        <f t="shared" si="15"/>
        <v>10</v>
      </c>
      <c r="W105" t="str">
        <f t="shared" si="16"/>
        <v>Élevé</v>
      </c>
      <c r="X105" s="7" t="s">
        <v>319</v>
      </c>
      <c r="Y105" s="8" t="s">
        <v>320</v>
      </c>
      <c r="Z105" s="8" t="s">
        <v>160</v>
      </c>
      <c r="AA105" s="8" t="s">
        <v>163</v>
      </c>
      <c r="AB105" s="6">
        <v>1</v>
      </c>
      <c r="AC105" s="6">
        <v>5</v>
      </c>
      <c r="AD105">
        <f t="shared" si="17"/>
        <v>5</v>
      </c>
      <c r="AE105" s="10" t="str">
        <f t="shared" si="18"/>
        <v>Faible</v>
      </c>
      <c r="AF105" t="s">
        <v>177</v>
      </c>
      <c r="AG105" s="10" t="str">
        <f t="shared" si="19"/>
        <v>Dans lappétit</v>
      </c>
      <c r="AH105" t="s">
        <v>283</v>
      </c>
      <c r="AI105" s="2" t="s">
        <v>853</v>
      </c>
      <c r="AJ105" t="s">
        <v>838</v>
      </c>
      <c r="AK105" s="11">
        <v>46311</v>
      </c>
      <c r="AL105" t="s">
        <v>310</v>
      </c>
      <c r="AM105" s="11">
        <v>46058</v>
      </c>
      <c r="AN105" t="s">
        <v>286</v>
      </c>
      <c r="AO105" s="6">
        <v>1</v>
      </c>
      <c r="AP105" s="12">
        <v>556000</v>
      </c>
      <c r="AQ105" s="12">
        <v>9400</v>
      </c>
      <c r="AR105" s="2" t="s">
        <v>314</v>
      </c>
      <c r="AS105" s="2" t="s">
        <v>835</v>
      </c>
      <c r="AT105" s="2" t="s">
        <v>288</v>
      </c>
    </row>
    <row r="106" spans="1:46" ht="64" x14ac:dyDescent="0.2">
      <c r="A106" t="s">
        <v>854</v>
      </c>
      <c r="B106" t="s">
        <v>808</v>
      </c>
      <c r="C106" t="s">
        <v>809</v>
      </c>
      <c r="D106" t="s">
        <v>855</v>
      </c>
      <c r="E106" t="s">
        <v>811</v>
      </c>
      <c r="F106" t="s">
        <v>812</v>
      </c>
      <c r="G106" t="s">
        <v>856</v>
      </c>
      <c r="H106" t="s">
        <v>274</v>
      </c>
      <c r="I106" t="s">
        <v>275</v>
      </c>
      <c r="J106" s="2" t="s">
        <v>857</v>
      </c>
      <c r="K106" s="2" t="s">
        <v>815</v>
      </c>
      <c r="L106" s="2" t="s">
        <v>278</v>
      </c>
      <c r="M106" s="2" t="s">
        <v>279</v>
      </c>
      <c r="N106" s="4" t="s">
        <v>858</v>
      </c>
      <c r="O106" s="4" t="s">
        <v>281</v>
      </c>
      <c r="P106" s="5">
        <v>1</v>
      </c>
      <c r="Q106" s="5">
        <v>2.5</v>
      </c>
      <c r="R106" s="5">
        <v>4</v>
      </c>
      <c r="S106" s="5">
        <v>1.7</v>
      </c>
      <c r="T106" s="6">
        <v>3</v>
      </c>
      <c r="U106" s="6">
        <v>5</v>
      </c>
      <c r="V106">
        <f t="shared" si="15"/>
        <v>15</v>
      </c>
      <c r="W106" t="str">
        <f t="shared" si="16"/>
        <v>Critique</v>
      </c>
      <c r="X106" s="7" t="s">
        <v>282</v>
      </c>
      <c r="Y106" s="8" t="s">
        <v>157</v>
      </c>
      <c r="Z106" s="8" t="s">
        <v>160</v>
      </c>
      <c r="AA106" s="8" t="s">
        <v>321</v>
      </c>
      <c r="AB106" s="6">
        <v>1</v>
      </c>
      <c r="AC106" s="6">
        <v>4</v>
      </c>
      <c r="AD106">
        <f t="shared" si="17"/>
        <v>4</v>
      </c>
      <c r="AE106" s="10" t="str">
        <f t="shared" si="18"/>
        <v>Faible</v>
      </c>
      <c r="AF106" t="s">
        <v>174</v>
      </c>
      <c r="AG106" s="10" t="str">
        <f t="shared" si="19"/>
        <v>Dans lappétit</v>
      </c>
      <c r="AH106" t="s">
        <v>322</v>
      </c>
      <c r="AI106" s="2" t="s">
        <v>859</v>
      </c>
      <c r="AJ106" t="s">
        <v>856</v>
      </c>
      <c r="AK106" s="11">
        <v>46322</v>
      </c>
      <c r="AL106" t="s">
        <v>196</v>
      </c>
      <c r="AM106" s="11">
        <v>46052</v>
      </c>
      <c r="AN106" t="s">
        <v>286</v>
      </c>
      <c r="AO106" s="6">
        <v>2</v>
      </c>
      <c r="AP106" s="12">
        <v>483000</v>
      </c>
      <c r="AQ106" s="12">
        <v>9000</v>
      </c>
      <c r="AR106" s="2" t="s">
        <v>275</v>
      </c>
      <c r="AS106" s="2" t="s">
        <v>818</v>
      </c>
      <c r="AT106" s="2" t="s">
        <v>288</v>
      </c>
    </row>
    <row r="107" spans="1:46" ht="64" x14ac:dyDescent="0.2">
      <c r="A107" t="s">
        <v>860</v>
      </c>
      <c r="B107" t="s">
        <v>808</v>
      </c>
      <c r="C107" t="s">
        <v>809</v>
      </c>
      <c r="D107" t="s">
        <v>855</v>
      </c>
      <c r="E107" t="s">
        <v>811</v>
      </c>
      <c r="F107" t="s">
        <v>812</v>
      </c>
      <c r="G107" t="s">
        <v>856</v>
      </c>
      <c r="H107" t="s">
        <v>290</v>
      </c>
      <c r="I107" t="s">
        <v>373</v>
      </c>
      <c r="J107" s="2" t="s">
        <v>861</v>
      </c>
      <c r="K107" s="2" t="s">
        <v>815</v>
      </c>
      <c r="L107" s="2" t="s">
        <v>293</v>
      </c>
      <c r="M107" s="2" t="s">
        <v>821</v>
      </c>
      <c r="N107" s="4" t="s">
        <v>862</v>
      </c>
      <c r="O107" s="4" t="s">
        <v>296</v>
      </c>
      <c r="P107" s="5">
        <v>0</v>
      </c>
      <c r="Q107" s="5">
        <v>2</v>
      </c>
      <c r="R107" s="5">
        <v>4</v>
      </c>
      <c r="S107" s="5">
        <v>2</v>
      </c>
      <c r="T107" s="6">
        <v>3</v>
      </c>
      <c r="U107" s="6">
        <v>5</v>
      </c>
      <c r="V107">
        <f t="shared" si="15"/>
        <v>15</v>
      </c>
      <c r="W107" t="str">
        <f t="shared" si="16"/>
        <v>Critique</v>
      </c>
      <c r="X107" s="7" t="s">
        <v>297</v>
      </c>
      <c r="Y107" s="8" t="s">
        <v>298</v>
      </c>
      <c r="Z107" s="8" t="s">
        <v>202</v>
      </c>
      <c r="AA107" s="8" t="s">
        <v>321</v>
      </c>
      <c r="AB107" s="6">
        <v>2</v>
      </c>
      <c r="AC107" s="6">
        <v>4</v>
      </c>
      <c r="AD107">
        <f t="shared" si="17"/>
        <v>8</v>
      </c>
      <c r="AE107" s="9" t="str">
        <f t="shared" si="18"/>
        <v>Modéré</v>
      </c>
      <c r="AF107" t="s">
        <v>177</v>
      </c>
      <c r="AG107" s="14" t="str">
        <f t="shared" si="19"/>
        <v>Hors appétit</v>
      </c>
      <c r="AH107" t="s">
        <v>283</v>
      </c>
      <c r="AI107" s="2" t="s">
        <v>863</v>
      </c>
      <c r="AJ107" t="s">
        <v>856</v>
      </c>
      <c r="AK107" s="11">
        <v>46333</v>
      </c>
      <c r="AL107" t="s">
        <v>300</v>
      </c>
      <c r="AM107" s="11">
        <v>46046</v>
      </c>
      <c r="AN107" t="s">
        <v>286</v>
      </c>
      <c r="AO107" s="6">
        <v>1</v>
      </c>
      <c r="AP107" s="12">
        <v>494000</v>
      </c>
      <c r="AQ107" s="12">
        <v>9250</v>
      </c>
      <c r="AR107" s="2" t="s">
        <v>373</v>
      </c>
      <c r="AS107" s="2" t="s">
        <v>824</v>
      </c>
      <c r="AT107" s="2" t="s">
        <v>288</v>
      </c>
    </row>
    <row r="108" spans="1:46" ht="64" x14ac:dyDescent="0.2">
      <c r="A108" t="s">
        <v>864</v>
      </c>
      <c r="B108" t="s">
        <v>808</v>
      </c>
      <c r="C108" t="s">
        <v>809</v>
      </c>
      <c r="D108" t="s">
        <v>855</v>
      </c>
      <c r="E108" t="s">
        <v>811</v>
      </c>
      <c r="F108" t="s">
        <v>812</v>
      </c>
      <c r="G108" t="s">
        <v>856</v>
      </c>
      <c r="H108" t="s">
        <v>104</v>
      </c>
      <c r="I108" t="s">
        <v>826</v>
      </c>
      <c r="J108" s="2" t="s">
        <v>865</v>
      </c>
      <c r="K108" s="2" t="s">
        <v>815</v>
      </c>
      <c r="L108" s="2" t="s">
        <v>304</v>
      </c>
      <c r="M108" s="2" t="s">
        <v>305</v>
      </c>
      <c r="N108" s="4" t="s">
        <v>866</v>
      </c>
      <c r="O108" s="4" t="s">
        <v>296</v>
      </c>
      <c r="P108" s="5">
        <v>0</v>
      </c>
      <c r="Q108" s="5">
        <v>1</v>
      </c>
      <c r="R108" s="5">
        <v>3</v>
      </c>
      <c r="S108" s="5">
        <v>2</v>
      </c>
      <c r="T108" s="6">
        <v>3</v>
      </c>
      <c r="U108" s="6">
        <v>5</v>
      </c>
      <c r="V108">
        <f t="shared" si="15"/>
        <v>15</v>
      </c>
      <c r="W108" t="str">
        <f t="shared" si="16"/>
        <v>Critique</v>
      </c>
      <c r="X108" s="7" t="s">
        <v>307</v>
      </c>
      <c r="Y108" s="8" t="s">
        <v>157</v>
      </c>
      <c r="Z108" s="8" t="s">
        <v>160</v>
      </c>
      <c r="AA108" s="8" t="s">
        <v>177</v>
      </c>
      <c r="AB108" s="6">
        <v>3</v>
      </c>
      <c r="AC108" s="6">
        <v>5</v>
      </c>
      <c r="AD108">
        <f t="shared" si="17"/>
        <v>15</v>
      </c>
      <c r="AE108" s="13" t="str">
        <f t="shared" si="18"/>
        <v>Critique</v>
      </c>
      <c r="AF108" t="s">
        <v>177</v>
      </c>
      <c r="AG108" s="14" t="str">
        <f t="shared" si="19"/>
        <v>Hors appétit</v>
      </c>
      <c r="AH108" t="s">
        <v>308</v>
      </c>
      <c r="AI108" s="2" t="s">
        <v>867</v>
      </c>
      <c r="AJ108" t="s">
        <v>856</v>
      </c>
      <c r="AK108" s="11">
        <v>46344</v>
      </c>
      <c r="AL108" t="s">
        <v>310</v>
      </c>
      <c r="AM108" s="11">
        <v>46040</v>
      </c>
      <c r="AN108" t="s">
        <v>160</v>
      </c>
      <c r="AO108" s="6">
        <v>2</v>
      </c>
      <c r="AP108" s="12">
        <v>707000</v>
      </c>
      <c r="AQ108" s="12">
        <v>9500</v>
      </c>
      <c r="AR108" s="15" t="s">
        <v>826</v>
      </c>
      <c r="AS108" s="2" t="s">
        <v>830</v>
      </c>
      <c r="AT108" s="2" t="s">
        <v>288</v>
      </c>
    </row>
    <row r="109" spans="1:46" ht="64" x14ac:dyDescent="0.2">
      <c r="A109" t="s">
        <v>868</v>
      </c>
      <c r="B109" t="s">
        <v>808</v>
      </c>
      <c r="C109" t="s">
        <v>809</v>
      </c>
      <c r="D109" t="s">
        <v>855</v>
      </c>
      <c r="E109" t="s">
        <v>811</v>
      </c>
      <c r="F109" t="s">
        <v>812</v>
      </c>
      <c r="G109" t="s">
        <v>856</v>
      </c>
      <c r="H109" t="s">
        <v>313</v>
      </c>
      <c r="I109" t="s">
        <v>314</v>
      </c>
      <c r="J109" s="2" t="s">
        <v>869</v>
      </c>
      <c r="K109" s="2" t="s">
        <v>815</v>
      </c>
      <c r="L109" s="2" t="s">
        <v>316</v>
      </c>
      <c r="M109" s="2" t="s">
        <v>505</v>
      </c>
      <c r="N109" s="4" t="s">
        <v>870</v>
      </c>
      <c r="O109" s="4" t="s">
        <v>296</v>
      </c>
      <c r="P109" s="5">
        <v>0</v>
      </c>
      <c r="Q109" s="5">
        <v>3</v>
      </c>
      <c r="R109" s="5">
        <v>6</v>
      </c>
      <c r="S109" s="5">
        <v>5</v>
      </c>
      <c r="T109" s="6">
        <v>3</v>
      </c>
      <c r="U109" s="6">
        <v>5</v>
      </c>
      <c r="V109">
        <f t="shared" si="15"/>
        <v>15</v>
      </c>
      <c r="W109" t="str">
        <f t="shared" si="16"/>
        <v>Critique</v>
      </c>
      <c r="X109" s="7" t="s">
        <v>319</v>
      </c>
      <c r="Y109" s="8" t="s">
        <v>320</v>
      </c>
      <c r="Z109" s="8" t="s">
        <v>160</v>
      </c>
      <c r="AA109" s="8" t="s">
        <v>177</v>
      </c>
      <c r="AB109" s="6">
        <v>3</v>
      </c>
      <c r="AC109" s="6">
        <v>5</v>
      </c>
      <c r="AD109">
        <f t="shared" si="17"/>
        <v>15</v>
      </c>
      <c r="AE109" s="13" t="str">
        <f t="shared" si="18"/>
        <v>Critique</v>
      </c>
      <c r="AF109" t="s">
        <v>177</v>
      </c>
      <c r="AG109" s="14" t="str">
        <f t="shared" si="19"/>
        <v>Hors appétit</v>
      </c>
      <c r="AH109" t="s">
        <v>283</v>
      </c>
      <c r="AI109" s="2" t="s">
        <v>871</v>
      </c>
      <c r="AJ109" t="s">
        <v>856</v>
      </c>
      <c r="AK109" s="11">
        <v>46355</v>
      </c>
      <c r="AL109" t="s">
        <v>285</v>
      </c>
      <c r="AM109" s="11">
        <v>46034</v>
      </c>
      <c r="AN109" t="s">
        <v>160</v>
      </c>
      <c r="AO109" s="6">
        <v>2</v>
      </c>
      <c r="AP109" s="12">
        <v>722000</v>
      </c>
      <c r="AQ109" s="12">
        <v>9750</v>
      </c>
      <c r="AR109" s="2" t="s">
        <v>314</v>
      </c>
      <c r="AS109" s="2" t="s">
        <v>835</v>
      </c>
      <c r="AT109" s="2" t="s">
        <v>288</v>
      </c>
    </row>
    <row r="110" spans="1:46" ht="48" x14ac:dyDescent="0.2">
      <c r="A110" t="s">
        <v>872</v>
      </c>
      <c r="B110" t="s">
        <v>808</v>
      </c>
      <c r="C110" t="s">
        <v>873</v>
      </c>
      <c r="D110" t="s">
        <v>874</v>
      </c>
      <c r="E110" t="s">
        <v>875</v>
      </c>
      <c r="F110" t="s">
        <v>876</v>
      </c>
      <c r="G110" t="s">
        <v>877</v>
      </c>
      <c r="H110" t="s">
        <v>274</v>
      </c>
      <c r="I110" t="s">
        <v>275</v>
      </c>
      <c r="J110" s="2" t="s">
        <v>878</v>
      </c>
      <c r="K110" s="2" t="s">
        <v>879</v>
      </c>
      <c r="L110" s="2" t="s">
        <v>278</v>
      </c>
      <c r="M110" s="2" t="s">
        <v>279</v>
      </c>
      <c r="N110" s="4" t="s">
        <v>880</v>
      </c>
      <c r="O110" s="4" t="s">
        <v>281</v>
      </c>
      <c r="P110" s="5">
        <v>1</v>
      </c>
      <c r="Q110" s="5">
        <v>2.5</v>
      </c>
      <c r="R110" s="5">
        <v>4</v>
      </c>
      <c r="S110" s="5">
        <v>2.7</v>
      </c>
      <c r="T110" s="6">
        <v>3</v>
      </c>
      <c r="U110" s="6">
        <v>4</v>
      </c>
      <c r="V110">
        <f t="shared" si="15"/>
        <v>12</v>
      </c>
      <c r="W110" t="str">
        <f t="shared" si="16"/>
        <v>Élevé</v>
      </c>
      <c r="X110" s="7" t="s">
        <v>282</v>
      </c>
      <c r="Y110" s="8" t="s">
        <v>157</v>
      </c>
      <c r="Z110" s="8" t="s">
        <v>160</v>
      </c>
      <c r="AA110" s="8" t="s">
        <v>163</v>
      </c>
      <c r="AB110" s="6">
        <v>2</v>
      </c>
      <c r="AC110" s="6">
        <v>4</v>
      </c>
      <c r="AD110">
        <f t="shared" si="17"/>
        <v>8</v>
      </c>
      <c r="AE110" s="9" t="str">
        <f t="shared" si="18"/>
        <v>Modéré</v>
      </c>
      <c r="AF110" t="s">
        <v>174</v>
      </c>
      <c r="AG110" s="10" t="str">
        <f t="shared" si="19"/>
        <v>Dans lappétit</v>
      </c>
      <c r="AH110" t="s">
        <v>283</v>
      </c>
      <c r="AI110" s="2" t="s">
        <v>881</v>
      </c>
      <c r="AJ110" t="s">
        <v>877</v>
      </c>
      <c r="AK110" s="11">
        <v>46366</v>
      </c>
      <c r="AL110" t="s">
        <v>285</v>
      </c>
      <c r="AM110" s="11">
        <v>46028</v>
      </c>
      <c r="AN110" t="s">
        <v>286</v>
      </c>
      <c r="AO110" s="6">
        <v>3</v>
      </c>
      <c r="AP110" s="12">
        <v>414000</v>
      </c>
      <c r="AQ110" s="12">
        <v>9000</v>
      </c>
      <c r="AR110" s="2" t="s">
        <v>275</v>
      </c>
      <c r="AS110" s="2" t="s">
        <v>882</v>
      </c>
      <c r="AT110" s="2" t="s">
        <v>288</v>
      </c>
    </row>
    <row r="111" spans="1:46" ht="64" x14ac:dyDescent="0.2">
      <c r="A111" t="s">
        <v>883</v>
      </c>
      <c r="B111" t="s">
        <v>808</v>
      </c>
      <c r="C111" t="s">
        <v>873</v>
      </c>
      <c r="D111" t="s">
        <v>874</v>
      </c>
      <c r="E111" t="s">
        <v>875</v>
      </c>
      <c r="F111" t="s">
        <v>876</v>
      </c>
      <c r="G111" t="s">
        <v>877</v>
      </c>
      <c r="H111" t="s">
        <v>290</v>
      </c>
      <c r="I111" t="s">
        <v>373</v>
      </c>
      <c r="J111" s="2" t="s">
        <v>884</v>
      </c>
      <c r="K111" s="2" t="s">
        <v>879</v>
      </c>
      <c r="L111" s="2" t="s">
        <v>293</v>
      </c>
      <c r="M111" s="2" t="s">
        <v>294</v>
      </c>
      <c r="N111" s="4" t="s">
        <v>885</v>
      </c>
      <c r="O111" s="4" t="s">
        <v>296</v>
      </c>
      <c r="P111" s="5">
        <v>0</v>
      </c>
      <c r="Q111" s="5">
        <v>2</v>
      </c>
      <c r="R111" s="5">
        <v>4</v>
      </c>
      <c r="S111" s="5">
        <v>2</v>
      </c>
      <c r="T111" s="6">
        <v>3</v>
      </c>
      <c r="U111" s="6">
        <v>5</v>
      </c>
      <c r="V111">
        <f t="shared" si="15"/>
        <v>15</v>
      </c>
      <c r="W111" t="str">
        <f t="shared" si="16"/>
        <v>Critique</v>
      </c>
      <c r="X111" s="7" t="s">
        <v>297</v>
      </c>
      <c r="Y111" s="8" t="s">
        <v>298</v>
      </c>
      <c r="Z111" s="8" t="s">
        <v>202</v>
      </c>
      <c r="AA111" s="8" t="s">
        <v>177</v>
      </c>
      <c r="AB111" s="6">
        <v>3</v>
      </c>
      <c r="AC111" s="6">
        <v>5</v>
      </c>
      <c r="AD111">
        <f t="shared" si="17"/>
        <v>15</v>
      </c>
      <c r="AE111" s="13" t="str">
        <f t="shared" si="18"/>
        <v>Critique</v>
      </c>
      <c r="AF111" t="s">
        <v>177</v>
      </c>
      <c r="AG111" s="14" t="str">
        <f t="shared" si="19"/>
        <v>Hors appétit</v>
      </c>
      <c r="AH111" t="s">
        <v>283</v>
      </c>
      <c r="AI111" s="2" t="s">
        <v>886</v>
      </c>
      <c r="AJ111" t="s">
        <v>877</v>
      </c>
      <c r="AK111" s="11">
        <v>46137</v>
      </c>
      <c r="AL111" t="s">
        <v>300</v>
      </c>
      <c r="AM111" s="11">
        <v>46022</v>
      </c>
      <c r="AN111" t="s">
        <v>160</v>
      </c>
      <c r="AO111" s="6">
        <v>2</v>
      </c>
      <c r="AP111" s="12">
        <v>491000</v>
      </c>
      <c r="AQ111" s="12">
        <v>9250</v>
      </c>
      <c r="AR111" s="2" t="s">
        <v>373</v>
      </c>
      <c r="AS111" s="2" t="s">
        <v>887</v>
      </c>
      <c r="AT111" s="2" t="s">
        <v>288</v>
      </c>
    </row>
    <row r="112" spans="1:46" ht="64" x14ac:dyDescent="0.2">
      <c r="A112" t="s">
        <v>888</v>
      </c>
      <c r="B112" t="s">
        <v>808</v>
      </c>
      <c r="C112" t="s">
        <v>873</v>
      </c>
      <c r="D112" t="s">
        <v>874</v>
      </c>
      <c r="E112" t="s">
        <v>875</v>
      </c>
      <c r="F112" t="s">
        <v>876</v>
      </c>
      <c r="G112" t="s">
        <v>877</v>
      </c>
      <c r="H112" t="s">
        <v>104</v>
      </c>
      <c r="I112" t="s">
        <v>107</v>
      </c>
      <c r="J112" s="2" t="s">
        <v>889</v>
      </c>
      <c r="K112" s="2" t="s">
        <v>879</v>
      </c>
      <c r="L112" s="2" t="s">
        <v>304</v>
      </c>
      <c r="M112" s="2" t="s">
        <v>890</v>
      </c>
      <c r="N112" s="4" t="s">
        <v>891</v>
      </c>
      <c r="O112" s="4" t="s">
        <v>296</v>
      </c>
      <c r="P112" s="5">
        <v>0</v>
      </c>
      <c r="Q112" s="5">
        <v>1</v>
      </c>
      <c r="R112" s="5">
        <v>3</v>
      </c>
      <c r="S112" s="5">
        <v>1</v>
      </c>
      <c r="T112" s="6">
        <v>3</v>
      </c>
      <c r="U112" s="6">
        <v>5</v>
      </c>
      <c r="V112">
        <f t="shared" si="15"/>
        <v>15</v>
      </c>
      <c r="W112" t="str">
        <f t="shared" si="16"/>
        <v>Critique</v>
      </c>
      <c r="X112" s="7" t="s">
        <v>307</v>
      </c>
      <c r="Y112" s="8" t="s">
        <v>157</v>
      </c>
      <c r="Z112" s="8" t="s">
        <v>160</v>
      </c>
      <c r="AA112" s="8" t="s">
        <v>163</v>
      </c>
      <c r="AB112" s="6">
        <v>2</v>
      </c>
      <c r="AC112" s="6">
        <v>5</v>
      </c>
      <c r="AD112">
        <f t="shared" si="17"/>
        <v>10</v>
      </c>
      <c r="AE112" s="14" t="str">
        <f t="shared" si="18"/>
        <v>Élevé</v>
      </c>
      <c r="AF112" t="s">
        <v>177</v>
      </c>
      <c r="AG112" s="14" t="str">
        <f t="shared" si="19"/>
        <v>Hors appétit</v>
      </c>
      <c r="AH112" t="s">
        <v>308</v>
      </c>
      <c r="AI112" s="2" t="s">
        <v>892</v>
      </c>
      <c r="AJ112" t="s">
        <v>877</v>
      </c>
      <c r="AK112" s="11">
        <v>46148</v>
      </c>
      <c r="AL112" t="s">
        <v>310</v>
      </c>
      <c r="AM112" s="11">
        <v>46016</v>
      </c>
      <c r="AN112" t="s">
        <v>202</v>
      </c>
      <c r="AO112" s="6">
        <v>2</v>
      </c>
      <c r="AP112" s="12">
        <v>703000</v>
      </c>
      <c r="AQ112" s="12">
        <v>9500</v>
      </c>
      <c r="AR112" s="15" t="s">
        <v>107</v>
      </c>
      <c r="AS112" s="2" t="s">
        <v>893</v>
      </c>
      <c r="AT112" s="2" t="s">
        <v>288</v>
      </c>
    </row>
    <row r="113" spans="1:46" ht="64" x14ac:dyDescent="0.2">
      <c r="A113" t="s">
        <v>894</v>
      </c>
      <c r="B113" t="s">
        <v>808</v>
      </c>
      <c r="C113" t="s">
        <v>873</v>
      </c>
      <c r="D113" t="s">
        <v>874</v>
      </c>
      <c r="E113" t="s">
        <v>875</v>
      </c>
      <c r="F113" t="s">
        <v>876</v>
      </c>
      <c r="G113" t="s">
        <v>877</v>
      </c>
      <c r="H113" t="s">
        <v>313</v>
      </c>
      <c r="I113" t="s">
        <v>314</v>
      </c>
      <c r="J113" s="2" t="s">
        <v>895</v>
      </c>
      <c r="K113" s="2" t="s">
        <v>879</v>
      </c>
      <c r="L113" s="2" t="s">
        <v>316</v>
      </c>
      <c r="M113" s="2" t="s">
        <v>505</v>
      </c>
      <c r="N113" s="4" t="s">
        <v>896</v>
      </c>
      <c r="O113" s="4" t="s">
        <v>296</v>
      </c>
      <c r="P113" s="5">
        <v>0</v>
      </c>
      <c r="Q113" s="5">
        <v>3</v>
      </c>
      <c r="R113" s="5">
        <v>6</v>
      </c>
      <c r="S113" s="5">
        <v>3</v>
      </c>
      <c r="T113" s="6">
        <v>2</v>
      </c>
      <c r="U113" s="6">
        <v>5</v>
      </c>
      <c r="V113">
        <f t="shared" si="15"/>
        <v>10</v>
      </c>
      <c r="W113" t="str">
        <f t="shared" si="16"/>
        <v>Élevé</v>
      </c>
      <c r="X113" s="7" t="s">
        <v>319</v>
      </c>
      <c r="Y113" s="8" t="s">
        <v>320</v>
      </c>
      <c r="Z113" s="8" t="s">
        <v>160</v>
      </c>
      <c r="AA113" s="8" t="s">
        <v>321</v>
      </c>
      <c r="AB113" s="6">
        <v>1</v>
      </c>
      <c r="AC113" s="6">
        <v>4</v>
      </c>
      <c r="AD113">
        <f t="shared" si="17"/>
        <v>4</v>
      </c>
      <c r="AE113" s="10" t="str">
        <f t="shared" si="18"/>
        <v>Faible</v>
      </c>
      <c r="AF113" t="s">
        <v>177</v>
      </c>
      <c r="AG113" s="10" t="str">
        <f t="shared" si="19"/>
        <v>Dans lappétit</v>
      </c>
      <c r="AH113" t="s">
        <v>322</v>
      </c>
      <c r="AI113" s="2" t="s">
        <v>897</v>
      </c>
      <c r="AJ113" t="s">
        <v>877</v>
      </c>
      <c r="AK113" s="11">
        <v>46159</v>
      </c>
      <c r="AL113" t="s">
        <v>310</v>
      </c>
      <c r="AM113" s="11">
        <v>46010</v>
      </c>
      <c r="AN113" t="s">
        <v>286</v>
      </c>
      <c r="AO113" s="6">
        <v>0</v>
      </c>
      <c r="AP113" s="12">
        <v>564000</v>
      </c>
      <c r="AQ113" s="12">
        <v>9750</v>
      </c>
      <c r="AR113" s="2" t="s">
        <v>314</v>
      </c>
      <c r="AS113" s="2" t="s">
        <v>898</v>
      </c>
      <c r="AT113" s="2" t="s">
        <v>288</v>
      </c>
    </row>
    <row r="114" spans="1:46" ht="64" x14ac:dyDescent="0.2">
      <c r="A114" t="s">
        <v>899</v>
      </c>
      <c r="B114" t="s">
        <v>808</v>
      </c>
      <c r="C114" t="s">
        <v>873</v>
      </c>
      <c r="D114" t="s">
        <v>900</v>
      </c>
      <c r="E114" t="s">
        <v>875</v>
      </c>
      <c r="F114" t="s">
        <v>876</v>
      </c>
      <c r="G114" t="s">
        <v>901</v>
      </c>
      <c r="H114" t="s">
        <v>274</v>
      </c>
      <c r="I114" t="s">
        <v>275</v>
      </c>
      <c r="J114" s="2" t="s">
        <v>902</v>
      </c>
      <c r="K114" s="2" t="s">
        <v>879</v>
      </c>
      <c r="L114" s="2" t="s">
        <v>278</v>
      </c>
      <c r="M114" s="2" t="s">
        <v>279</v>
      </c>
      <c r="N114" s="4" t="s">
        <v>903</v>
      </c>
      <c r="O114" s="4" t="s">
        <v>281</v>
      </c>
      <c r="P114" s="5">
        <v>1</v>
      </c>
      <c r="Q114" s="5">
        <v>2.5</v>
      </c>
      <c r="R114" s="5">
        <v>4</v>
      </c>
      <c r="S114" s="5">
        <v>3</v>
      </c>
      <c r="T114" s="6">
        <v>3</v>
      </c>
      <c r="U114" s="6">
        <v>4</v>
      </c>
      <c r="V114">
        <f t="shared" si="15"/>
        <v>12</v>
      </c>
      <c r="W114" t="str">
        <f t="shared" si="16"/>
        <v>Élevé</v>
      </c>
      <c r="X114" s="7" t="s">
        <v>282</v>
      </c>
      <c r="Y114" s="8" t="s">
        <v>157</v>
      </c>
      <c r="Z114" s="8" t="s">
        <v>160</v>
      </c>
      <c r="AA114" s="8" t="s">
        <v>177</v>
      </c>
      <c r="AB114" s="6">
        <v>3</v>
      </c>
      <c r="AC114" s="6">
        <v>4</v>
      </c>
      <c r="AD114">
        <f t="shared" si="17"/>
        <v>12</v>
      </c>
      <c r="AE114" s="14" t="str">
        <f t="shared" si="18"/>
        <v>Élevé</v>
      </c>
      <c r="AF114" t="s">
        <v>174</v>
      </c>
      <c r="AG114" s="14" t="str">
        <f t="shared" si="19"/>
        <v>Hors appétit</v>
      </c>
      <c r="AH114" t="s">
        <v>283</v>
      </c>
      <c r="AI114" s="2" t="s">
        <v>904</v>
      </c>
      <c r="AJ114" t="s">
        <v>901</v>
      </c>
      <c r="AK114" s="11">
        <v>46170</v>
      </c>
      <c r="AL114" t="s">
        <v>285</v>
      </c>
      <c r="AM114" s="11">
        <v>46004</v>
      </c>
      <c r="AN114" t="s">
        <v>202</v>
      </c>
      <c r="AO114" s="6">
        <v>3</v>
      </c>
      <c r="AP114" s="12">
        <v>423000</v>
      </c>
      <c r="AQ114" s="12">
        <v>9350</v>
      </c>
      <c r="AR114" s="2" t="s">
        <v>275</v>
      </c>
      <c r="AS114" s="2" t="s">
        <v>882</v>
      </c>
      <c r="AT114" s="2" t="s">
        <v>288</v>
      </c>
    </row>
    <row r="115" spans="1:46" ht="64" x14ac:dyDescent="0.2">
      <c r="A115" t="s">
        <v>905</v>
      </c>
      <c r="B115" t="s">
        <v>808</v>
      </c>
      <c r="C115" t="s">
        <v>873</v>
      </c>
      <c r="D115" t="s">
        <v>900</v>
      </c>
      <c r="E115" t="s">
        <v>875</v>
      </c>
      <c r="F115" t="s">
        <v>876</v>
      </c>
      <c r="G115" t="s">
        <v>901</v>
      </c>
      <c r="H115" t="s">
        <v>290</v>
      </c>
      <c r="I115" t="s">
        <v>373</v>
      </c>
      <c r="J115" s="2" t="s">
        <v>906</v>
      </c>
      <c r="K115" s="2" t="s">
        <v>879</v>
      </c>
      <c r="L115" s="2" t="s">
        <v>293</v>
      </c>
      <c r="M115" s="2" t="s">
        <v>294</v>
      </c>
      <c r="N115" s="4" t="s">
        <v>907</v>
      </c>
      <c r="O115" s="4" t="s">
        <v>296</v>
      </c>
      <c r="P115" s="5">
        <v>0</v>
      </c>
      <c r="Q115" s="5">
        <v>2</v>
      </c>
      <c r="R115" s="5">
        <v>4</v>
      </c>
      <c r="S115" s="5">
        <v>4</v>
      </c>
      <c r="T115" s="6">
        <v>3</v>
      </c>
      <c r="U115" s="6">
        <v>5</v>
      </c>
      <c r="V115">
        <f t="shared" si="15"/>
        <v>15</v>
      </c>
      <c r="W115" t="str">
        <f t="shared" si="16"/>
        <v>Critique</v>
      </c>
      <c r="X115" s="7" t="s">
        <v>297</v>
      </c>
      <c r="Y115" s="8" t="s">
        <v>298</v>
      </c>
      <c r="Z115" s="8" t="s">
        <v>202</v>
      </c>
      <c r="AA115" s="8" t="s">
        <v>163</v>
      </c>
      <c r="AB115" s="6">
        <v>2</v>
      </c>
      <c r="AC115" s="6">
        <v>5</v>
      </c>
      <c r="AD115">
        <f t="shared" si="17"/>
        <v>10</v>
      </c>
      <c r="AE115" s="14" t="str">
        <f t="shared" si="18"/>
        <v>Élevé</v>
      </c>
      <c r="AF115" t="s">
        <v>177</v>
      </c>
      <c r="AG115" s="14" t="str">
        <f t="shared" si="19"/>
        <v>Hors appétit</v>
      </c>
      <c r="AH115" t="s">
        <v>283</v>
      </c>
      <c r="AI115" s="2" t="s">
        <v>908</v>
      </c>
      <c r="AJ115" t="s">
        <v>901</v>
      </c>
      <c r="AK115" s="11">
        <v>46181</v>
      </c>
      <c r="AL115" t="s">
        <v>300</v>
      </c>
      <c r="AM115" s="11">
        <v>45998</v>
      </c>
      <c r="AN115" t="s">
        <v>202</v>
      </c>
      <c r="AO115" s="6">
        <v>2</v>
      </c>
      <c r="AP115" s="12">
        <v>500000</v>
      </c>
      <c r="AQ115" s="12">
        <v>9600</v>
      </c>
      <c r="AR115" s="2" t="s">
        <v>373</v>
      </c>
      <c r="AS115" s="2" t="s">
        <v>887</v>
      </c>
      <c r="AT115" s="2" t="s">
        <v>288</v>
      </c>
    </row>
    <row r="116" spans="1:46" ht="64" x14ac:dyDescent="0.2">
      <c r="A116" t="s">
        <v>909</v>
      </c>
      <c r="B116" t="s">
        <v>808</v>
      </c>
      <c r="C116" t="s">
        <v>873</v>
      </c>
      <c r="D116" t="s">
        <v>900</v>
      </c>
      <c r="E116" t="s">
        <v>875</v>
      </c>
      <c r="F116" t="s">
        <v>876</v>
      </c>
      <c r="G116" t="s">
        <v>901</v>
      </c>
      <c r="H116" t="s">
        <v>104</v>
      </c>
      <c r="I116" t="s">
        <v>107</v>
      </c>
      <c r="J116" s="2" t="s">
        <v>910</v>
      </c>
      <c r="K116" s="2" t="s">
        <v>879</v>
      </c>
      <c r="L116" s="2" t="s">
        <v>304</v>
      </c>
      <c r="M116" s="2" t="s">
        <v>890</v>
      </c>
      <c r="N116" s="4" t="s">
        <v>911</v>
      </c>
      <c r="O116" s="4" t="s">
        <v>296</v>
      </c>
      <c r="P116" s="5">
        <v>0</v>
      </c>
      <c r="Q116" s="5">
        <v>1</v>
      </c>
      <c r="R116" s="5">
        <v>3</v>
      </c>
      <c r="S116" s="5">
        <v>1</v>
      </c>
      <c r="T116" s="6">
        <v>3</v>
      </c>
      <c r="U116" s="6">
        <v>5</v>
      </c>
      <c r="V116">
        <f t="shared" si="15"/>
        <v>15</v>
      </c>
      <c r="W116" t="str">
        <f t="shared" si="16"/>
        <v>Critique</v>
      </c>
      <c r="X116" s="7" t="s">
        <v>307</v>
      </c>
      <c r="Y116" s="8" t="s">
        <v>157</v>
      </c>
      <c r="Z116" s="8" t="s">
        <v>160</v>
      </c>
      <c r="AA116" s="8" t="s">
        <v>163</v>
      </c>
      <c r="AB116" s="6">
        <v>2</v>
      </c>
      <c r="AC116" s="6">
        <v>5</v>
      </c>
      <c r="AD116">
        <f t="shared" si="17"/>
        <v>10</v>
      </c>
      <c r="AE116" s="14" t="str">
        <f t="shared" si="18"/>
        <v>Élevé</v>
      </c>
      <c r="AF116" t="s">
        <v>177</v>
      </c>
      <c r="AG116" s="14" t="str">
        <f t="shared" si="19"/>
        <v>Hors appétit</v>
      </c>
      <c r="AH116" t="s">
        <v>308</v>
      </c>
      <c r="AI116" s="2" t="s">
        <v>912</v>
      </c>
      <c r="AJ116" t="s">
        <v>901</v>
      </c>
      <c r="AK116" s="11">
        <v>46192</v>
      </c>
      <c r="AL116" t="s">
        <v>310</v>
      </c>
      <c r="AM116" s="11">
        <v>45992</v>
      </c>
      <c r="AN116" t="s">
        <v>202</v>
      </c>
      <c r="AO116" s="6">
        <v>2</v>
      </c>
      <c r="AP116" s="12">
        <v>715000</v>
      </c>
      <c r="AQ116" s="12">
        <v>9850</v>
      </c>
      <c r="AR116" s="15" t="s">
        <v>107</v>
      </c>
      <c r="AS116" s="2" t="s">
        <v>893</v>
      </c>
      <c r="AT116" s="2" t="s">
        <v>288</v>
      </c>
    </row>
    <row r="117" spans="1:46" ht="64" x14ac:dyDescent="0.2">
      <c r="A117" t="s">
        <v>913</v>
      </c>
      <c r="B117" t="s">
        <v>808</v>
      </c>
      <c r="C117" t="s">
        <v>873</v>
      </c>
      <c r="D117" t="s">
        <v>900</v>
      </c>
      <c r="E117" t="s">
        <v>875</v>
      </c>
      <c r="F117" t="s">
        <v>876</v>
      </c>
      <c r="G117" t="s">
        <v>901</v>
      </c>
      <c r="H117" t="s">
        <v>313</v>
      </c>
      <c r="I117" t="s">
        <v>314</v>
      </c>
      <c r="J117" s="2" t="s">
        <v>914</v>
      </c>
      <c r="K117" s="2" t="s">
        <v>879</v>
      </c>
      <c r="L117" s="2" t="s">
        <v>316</v>
      </c>
      <c r="M117" s="2" t="s">
        <v>505</v>
      </c>
      <c r="N117" s="4" t="s">
        <v>915</v>
      </c>
      <c r="O117" s="4" t="s">
        <v>296</v>
      </c>
      <c r="P117" s="5">
        <v>0</v>
      </c>
      <c r="Q117" s="5">
        <v>3</v>
      </c>
      <c r="R117" s="5">
        <v>6</v>
      </c>
      <c r="S117" s="5">
        <v>3</v>
      </c>
      <c r="T117" s="6">
        <v>3</v>
      </c>
      <c r="U117" s="6">
        <v>5</v>
      </c>
      <c r="V117">
        <f t="shared" si="15"/>
        <v>15</v>
      </c>
      <c r="W117" t="str">
        <f t="shared" si="16"/>
        <v>Critique</v>
      </c>
      <c r="X117" s="7" t="s">
        <v>319</v>
      </c>
      <c r="Y117" s="8" t="s">
        <v>320</v>
      </c>
      <c r="Z117" s="8" t="s">
        <v>160</v>
      </c>
      <c r="AA117" s="8" t="s">
        <v>163</v>
      </c>
      <c r="AB117" s="6">
        <v>2</v>
      </c>
      <c r="AC117" s="6">
        <v>5</v>
      </c>
      <c r="AD117">
        <f t="shared" si="17"/>
        <v>10</v>
      </c>
      <c r="AE117" s="14" t="str">
        <f t="shared" si="18"/>
        <v>Élevé</v>
      </c>
      <c r="AF117" t="s">
        <v>177</v>
      </c>
      <c r="AG117" s="14" t="str">
        <f t="shared" si="19"/>
        <v>Hors appétit</v>
      </c>
      <c r="AH117" t="s">
        <v>283</v>
      </c>
      <c r="AI117" s="2" t="s">
        <v>916</v>
      </c>
      <c r="AJ117" t="s">
        <v>901</v>
      </c>
      <c r="AK117" s="11">
        <v>46203</v>
      </c>
      <c r="AL117" t="s">
        <v>285</v>
      </c>
      <c r="AM117" s="11">
        <v>45986</v>
      </c>
      <c r="AN117" t="s">
        <v>202</v>
      </c>
      <c r="AO117" s="6">
        <v>2</v>
      </c>
      <c r="AP117" s="12">
        <v>731000</v>
      </c>
      <c r="AQ117" s="12">
        <v>10100</v>
      </c>
      <c r="AR117" s="2" t="s">
        <v>314</v>
      </c>
      <c r="AS117" s="2" t="s">
        <v>898</v>
      </c>
      <c r="AT117" s="2" t="s">
        <v>288</v>
      </c>
    </row>
    <row r="118" spans="1:46" ht="64" x14ac:dyDescent="0.2">
      <c r="A118" t="s">
        <v>917</v>
      </c>
      <c r="B118" t="s">
        <v>808</v>
      </c>
      <c r="C118" t="s">
        <v>873</v>
      </c>
      <c r="D118" t="s">
        <v>918</v>
      </c>
      <c r="E118" t="s">
        <v>875</v>
      </c>
      <c r="F118" t="s">
        <v>876</v>
      </c>
      <c r="G118" t="s">
        <v>919</v>
      </c>
      <c r="H118" t="s">
        <v>274</v>
      </c>
      <c r="I118" t="s">
        <v>275</v>
      </c>
      <c r="J118" s="2" t="s">
        <v>920</v>
      </c>
      <c r="K118" s="2" t="s">
        <v>879</v>
      </c>
      <c r="L118" s="2" t="s">
        <v>278</v>
      </c>
      <c r="M118" s="2" t="s">
        <v>279</v>
      </c>
      <c r="N118" s="4" t="s">
        <v>921</v>
      </c>
      <c r="O118" s="4" t="s">
        <v>281</v>
      </c>
      <c r="P118" s="5">
        <v>1</v>
      </c>
      <c r="Q118" s="5">
        <v>2.5</v>
      </c>
      <c r="R118" s="5">
        <v>4</v>
      </c>
      <c r="S118" s="5">
        <v>2.2000000000000002</v>
      </c>
      <c r="T118" s="6">
        <v>4</v>
      </c>
      <c r="U118" s="6">
        <v>4</v>
      </c>
      <c r="V118">
        <f t="shared" si="15"/>
        <v>16</v>
      </c>
      <c r="W118" t="str">
        <f t="shared" si="16"/>
        <v>Critique</v>
      </c>
      <c r="X118" s="7" t="s">
        <v>282</v>
      </c>
      <c r="Y118" s="8" t="s">
        <v>157</v>
      </c>
      <c r="Z118" s="8" t="s">
        <v>160</v>
      </c>
      <c r="AA118" s="8" t="s">
        <v>321</v>
      </c>
      <c r="AB118" s="6">
        <v>2</v>
      </c>
      <c r="AC118" s="6">
        <v>3</v>
      </c>
      <c r="AD118">
        <f t="shared" si="17"/>
        <v>6</v>
      </c>
      <c r="AE118" s="9" t="str">
        <f t="shared" si="18"/>
        <v>Modéré</v>
      </c>
      <c r="AF118" t="s">
        <v>174</v>
      </c>
      <c r="AG118" s="10" t="str">
        <f t="shared" si="19"/>
        <v>Dans lappétit</v>
      </c>
      <c r="AH118" t="s">
        <v>322</v>
      </c>
      <c r="AI118" s="2" t="s">
        <v>922</v>
      </c>
      <c r="AJ118" t="s">
        <v>919</v>
      </c>
      <c r="AK118" s="11">
        <v>46214</v>
      </c>
      <c r="AL118" t="s">
        <v>196</v>
      </c>
      <c r="AM118" s="11">
        <v>45980</v>
      </c>
      <c r="AN118" t="s">
        <v>286</v>
      </c>
      <c r="AO118" s="6">
        <v>3</v>
      </c>
      <c r="AP118" s="12">
        <v>520000</v>
      </c>
      <c r="AQ118" s="12">
        <v>9700</v>
      </c>
      <c r="AR118" s="2" t="s">
        <v>275</v>
      </c>
      <c r="AS118" s="2" t="s">
        <v>882</v>
      </c>
      <c r="AT118" s="2" t="s">
        <v>288</v>
      </c>
    </row>
    <row r="119" spans="1:46" ht="64" x14ac:dyDescent="0.2">
      <c r="A119" t="s">
        <v>923</v>
      </c>
      <c r="B119" t="s">
        <v>808</v>
      </c>
      <c r="C119" t="s">
        <v>873</v>
      </c>
      <c r="D119" t="s">
        <v>918</v>
      </c>
      <c r="E119" t="s">
        <v>875</v>
      </c>
      <c r="F119" t="s">
        <v>876</v>
      </c>
      <c r="G119" t="s">
        <v>919</v>
      </c>
      <c r="H119" t="s">
        <v>290</v>
      </c>
      <c r="I119" t="s">
        <v>373</v>
      </c>
      <c r="J119" s="2" t="s">
        <v>924</v>
      </c>
      <c r="K119" s="2" t="s">
        <v>879</v>
      </c>
      <c r="L119" s="2" t="s">
        <v>293</v>
      </c>
      <c r="M119" s="2" t="s">
        <v>294</v>
      </c>
      <c r="N119" s="4" t="s">
        <v>925</v>
      </c>
      <c r="O119" s="4" t="s">
        <v>296</v>
      </c>
      <c r="P119" s="5">
        <v>0</v>
      </c>
      <c r="Q119" s="5">
        <v>2</v>
      </c>
      <c r="R119" s="5">
        <v>4</v>
      </c>
      <c r="S119" s="5">
        <v>4</v>
      </c>
      <c r="T119" s="6">
        <v>3</v>
      </c>
      <c r="U119" s="6">
        <v>5</v>
      </c>
      <c r="V119">
        <f t="shared" si="15"/>
        <v>15</v>
      </c>
      <c r="W119" t="str">
        <f t="shared" si="16"/>
        <v>Critique</v>
      </c>
      <c r="X119" s="7" t="s">
        <v>297</v>
      </c>
      <c r="Y119" s="8" t="s">
        <v>298</v>
      </c>
      <c r="Z119" s="8" t="s">
        <v>202</v>
      </c>
      <c r="AA119" s="8" t="s">
        <v>321</v>
      </c>
      <c r="AB119" s="6">
        <v>2</v>
      </c>
      <c r="AC119" s="6">
        <v>4</v>
      </c>
      <c r="AD119">
        <f t="shared" si="17"/>
        <v>8</v>
      </c>
      <c r="AE119" s="9" t="str">
        <f t="shared" si="18"/>
        <v>Modéré</v>
      </c>
      <c r="AF119" t="s">
        <v>177</v>
      </c>
      <c r="AG119" s="14" t="str">
        <f t="shared" si="19"/>
        <v>Hors appétit</v>
      </c>
      <c r="AH119" t="s">
        <v>283</v>
      </c>
      <c r="AI119" s="2" t="s">
        <v>926</v>
      </c>
      <c r="AJ119" t="s">
        <v>919</v>
      </c>
      <c r="AK119" s="11">
        <v>46225</v>
      </c>
      <c r="AL119" t="s">
        <v>300</v>
      </c>
      <c r="AM119" s="11">
        <v>45974</v>
      </c>
      <c r="AN119" t="s">
        <v>286</v>
      </c>
      <c r="AO119" s="6">
        <v>1</v>
      </c>
      <c r="AP119" s="12">
        <v>509000</v>
      </c>
      <c r="AQ119" s="12">
        <v>9950</v>
      </c>
      <c r="AR119" s="2" t="s">
        <v>373</v>
      </c>
      <c r="AS119" s="2" t="s">
        <v>887</v>
      </c>
      <c r="AT119" s="2" t="s">
        <v>288</v>
      </c>
    </row>
    <row r="120" spans="1:46" ht="64" x14ac:dyDescent="0.2">
      <c r="A120" t="s">
        <v>927</v>
      </c>
      <c r="B120" t="s">
        <v>808</v>
      </c>
      <c r="C120" t="s">
        <v>873</v>
      </c>
      <c r="D120" t="s">
        <v>918</v>
      </c>
      <c r="E120" t="s">
        <v>875</v>
      </c>
      <c r="F120" t="s">
        <v>876</v>
      </c>
      <c r="G120" t="s">
        <v>919</v>
      </c>
      <c r="H120" t="s">
        <v>104</v>
      </c>
      <c r="I120" t="s">
        <v>107</v>
      </c>
      <c r="J120" s="2" t="s">
        <v>928</v>
      </c>
      <c r="K120" s="2" t="s">
        <v>879</v>
      </c>
      <c r="L120" s="2" t="s">
        <v>304</v>
      </c>
      <c r="M120" s="2" t="s">
        <v>890</v>
      </c>
      <c r="N120" s="4" t="s">
        <v>929</v>
      </c>
      <c r="O120" s="4" t="s">
        <v>296</v>
      </c>
      <c r="P120" s="5">
        <v>0</v>
      </c>
      <c r="Q120" s="5">
        <v>1</v>
      </c>
      <c r="R120" s="5">
        <v>3</v>
      </c>
      <c r="S120" s="5">
        <v>3</v>
      </c>
      <c r="T120" s="6">
        <v>4</v>
      </c>
      <c r="U120" s="6">
        <v>5</v>
      </c>
      <c r="V120">
        <f t="shared" si="15"/>
        <v>20</v>
      </c>
      <c r="W120" t="str">
        <f t="shared" si="16"/>
        <v>Critique</v>
      </c>
      <c r="X120" s="7" t="s">
        <v>307</v>
      </c>
      <c r="Y120" s="8" t="s">
        <v>157</v>
      </c>
      <c r="Z120" s="8" t="s">
        <v>160</v>
      </c>
      <c r="AA120" s="8" t="s">
        <v>177</v>
      </c>
      <c r="AB120" s="6">
        <v>4</v>
      </c>
      <c r="AC120" s="6">
        <v>5</v>
      </c>
      <c r="AD120">
        <f t="shared" si="17"/>
        <v>20</v>
      </c>
      <c r="AE120" s="13" t="str">
        <f t="shared" si="18"/>
        <v>Critique</v>
      </c>
      <c r="AF120" t="s">
        <v>177</v>
      </c>
      <c r="AG120" s="14" t="str">
        <f t="shared" si="19"/>
        <v>Hors appétit</v>
      </c>
      <c r="AH120" t="s">
        <v>308</v>
      </c>
      <c r="AI120" s="2" t="s">
        <v>930</v>
      </c>
      <c r="AJ120" t="s">
        <v>919</v>
      </c>
      <c r="AK120" s="11">
        <v>46236</v>
      </c>
      <c r="AL120" t="s">
        <v>285</v>
      </c>
      <c r="AM120" s="11">
        <v>45968</v>
      </c>
      <c r="AN120" t="s">
        <v>160</v>
      </c>
      <c r="AO120" s="6">
        <v>3</v>
      </c>
      <c r="AP120" s="12">
        <v>882000</v>
      </c>
      <c r="AQ120" s="12">
        <v>10200</v>
      </c>
      <c r="AR120" s="15" t="s">
        <v>107</v>
      </c>
      <c r="AS120" s="2" t="s">
        <v>893</v>
      </c>
      <c r="AT120" s="2" t="s">
        <v>288</v>
      </c>
    </row>
    <row r="121" spans="1:46" ht="64" x14ac:dyDescent="0.2">
      <c r="A121" t="s">
        <v>931</v>
      </c>
      <c r="B121" t="s">
        <v>808</v>
      </c>
      <c r="C121" t="s">
        <v>873</v>
      </c>
      <c r="D121" t="s">
        <v>918</v>
      </c>
      <c r="E121" t="s">
        <v>875</v>
      </c>
      <c r="F121" t="s">
        <v>876</v>
      </c>
      <c r="G121" t="s">
        <v>919</v>
      </c>
      <c r="H121" t="s">
        <v>313</v>
      </c>
      <c r="I121" t="s">
        <v>314</v>
      </c>
      <c r="J121" s="2" t="s">
        <v>932</v>
      </c>
      <c r="K121" s="2" t="s">
        <v>879</v>
      </c>
      <c r="L121" s="2" t="s">
        <v>316</v>
      </c>
      <c r="M121" s="2" t="s">
        <v>505</v>
      </c>
      <c r="N121" s="4" t="s">
        <v>933</v>
      </c>
      <c r="O121" s="4" t="s">
        <v>296</v>
      </c>
      <c r="P121" s="5">
        <v>0</v>
      </c>
      <c r="Q121" s="5">
        <v>3</v>
      </c>
      <c r="R121" s="5">
        <v>6</v>
      </c>
      <c r="S121" s="5">
        <v>3</v>
      </c>
      <c r="T121" s="6">
        <v>3</v>
      </c>
      <c r="U121" s="6">
        <v>5</v>
      </c>
      <c r="V121">
        <f t="shared" si="15"/>
        <v>15</v>
      </c>
      <c r="W121" t="str">
        <f t="shared" si="16"/>
        <v>Critique</v>
      </c>
      <c r="X121" s="7" t="s">
        <v>319</v>
      </c>
      <c r="Y121" s="8" t="s">
        <v>320</v>
      </c>
      <c r="Z121" s="8" t="s">
        <v>160</v>
      </c>
      <c r="AA121" s="8" t="s">
        <v>177</v>
      </c>
      <c r="AB121" s="6">
        <v>3</v>
      </c>
      <c r="AC121" s="6">
        <v>5</v>
      </c>
      <c r="AD121">
        <f t="shared" si="17"/>
        <v>15</v>
      </c>
      <c r="AE121" s="13" t="str">
        <f t="shared" si="18"/>
        <v>Critique</v>
      </c>
      <c r="AF121" t="s">
        <v>177</v>
      </c>
      <c r="AG121" s="14" t="str">
        <f t="shared" si="19"/>
        <v>Hors appétit</v>
      </c>
      <c r="AH121" t="s">
        <v>283</v>
      </c>
      <c r="AI121" s="2" t="s">
        <v>934</v>
      </c>
      <c r="AJ121" t="s">
        <v>919</v>
      </c>
      <c r="AK121" s="11">
        <v>46247</v>
      </c>
      <c r="AL121" t="s">
        <v>285</v>
      </c>
      <c r="AM121" s="11">
        <v>46082</v>
      </c>
      <c r="AN121" t="s">
        <v>160</v>
      </c>
      <c r="AO121" s="6">
        <v>2</v>
      </c>
      <c r="AP121" s="12">
        <v>743000</v>
      </c>
      <c r="AQ121" s="12">
        <v>10450</v>
      </c>
      <c r="AR121" s="2" t="s">
        <v>314</v>
      </c>
      <c r="AS121" s="2" t="s">
        <v>898</v>
      </c>
      <c r="AT121" s="2" t="s">
        <v>288</v>
      </c>
    </row>
  </sheetData>
  <pageMargins left="0.75" right="0.75" top="1" bottom="1" header="0.5" footer="0.5"/>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6"/>
  <sheetViews>
    <sheetView tabSelected="1" workbookViewId="0">
      <pane ySplit="4" topLeftCell="A5" activePane="bottomLeft" state="frozen"/>
      <selection pane="bottomLeft" activeCell="D11" sqref="D11"/>
    </sheetView>
  </sheetViews>
  <sheetFormatPr baseColWidth="10" defaultColWidth="8.83203125" defaultRowHeight="15" x14ac:dyDescent="0.2"/>
  <cols>
    <col min="1" max="1" width="42" customWidth="1"/>
    <col min="2" max="2" width="16" customWidth="1"/>
    <col min="3" max="4" width="18" customWidth="1"/>
    <col min="5" max="5" width="16" customWidth="1"/>
  </cols>
  <sheetData>
    <row r="1" spans="1:6" ht="20" x14ac:dyDescent="0.25">
      <c r="A1" s="20" t="s">
        <v>935</v>
      </c>
      <c r="B1" s="18"/>
      <c r="C1" s="18"/>
      <c r="D1" s="18"/>
      <c r="E1" s="18"/>
      <c r="F1" s="18"/>
    </row>
    <row r="3" spans="1:6" x14ac:dyDescent="0.2">
      <c r="A3" s="1" t="s">
        <v>936</v>
      </c>
    </row>
    <row r="5" spans="1:6" ht="16" x14ac:dyDescent="0.2">
      <c r="A5" s="3" t="s">
        <v>937</v>
      </c>
      <c r="B5" s="3" t="s">
        <v>938</v>
      </c>
      <c r="C5" s="3"/>
      <c r="D5" s="3"/>
      <c r="E5" s="3"/>
      <c r="F5" s="3"/>
    </row>
    <row r="6" spans="1:6" x14ac:dyDescent="0.2">
      <c r="A6" t="s">
        <v>939</v>
      </c>
      <c r="B6" s="16">
        <f>COUNTA(Registre_Risques!A:A)-1</f>
        <v>120</v>
      </c>
    </row>
    <row r="7" spans="1:6" x14ac:dyDescent="0.2">
      <c r="A7" t="s">
        <v>940</v>
      </c>
      <c r="B7" s="16">
        <v>5</v>
      </c>
    </row>
    <row r="8" spans="1:6" x14ac:dyDescent="0.2">
      <c r="A8" t="s">
        <v>941</v>
      </c>
      <c r="B8" s="16">
        <v>11</v>
      </c>
    </row>
    <row r="9" spans="1:6" x14ac:dyDescent="0.2">
      <c r="A9" t="s">
        <v>942</v>
      </c>
      <c r="B9" s="16">
        <f>COUNTIF(Registre_Risques!W:W,"Critique")</f>
        <v>75</v>
      </c>
    </row>
    <row r="10" spans="1:6" x14ac:dyDescent="0.2">
      <c r="A10" t="s">
        <v>943</v>
      </c>
      <c r="B10" s="16">
        <f>COUNTIF(Registre_Risques!AE:AE,"Critique")</f>
        <v>30</v>
      </c>
    </row>
    <row r="11" spans="1:6" x14ac:dyDescent="0.2">
      <c r="A11" t="s">
        <v>944</v>
      </c>
      <c r="B11" s="16">
        <f>COUNTIF(Registre_Risques!AG:AG,"Hors appétit")</f>
        <v>91</v>
      </c>
    </row>
    <row r="12" spans="1:6" x14ac:dyDescent="0.2">
      <c r="A12" t="s">
        <v>945</v>
      </c>
      <c r="B12" s="16">
        <f>SUM(Registre_Risques!AP:AP)</f>
        <v>60362000</v>
      </c>
    </row>
    <row r="13" spans="1:6" x14ac:dyDescent="0.2">
      <c r="A13" t="s">
        <v>946</v>
      </c>
      <c r="B13" s="16">
        <f>SUM(Registre_Risques!AQ:AQ)</f>
        <v>812280</v>
      </c>
    </row>
    <row r="16" spans="1:6" x14ac:dyDescent="0.2">
      <c r="A16" s="1" t="s">
        <v>947</v>
      </c>
    </row>
    <row r="17" spans="1:6" ht="16" x14ac:dyDescent="0.2">
      <c r="A17" s="3" t="s">
        <v>83</v>
      </c>
      <c r="B17" s="3" t="s">
        <v>948</v>
      </c>
      <c r="C17" s="3" t="s">
        <v>949</v>
      </c>
      <c r="D17" s="3" t="s">
        <v>950</v>
      </c>
      <c r="E17" s="3" t="s">
        <v>180</v>
      </c>
      <c r="F17" s="3"/>
    </row>
    <row r="18" spans="1:6" x14ac:dyDescent="0.2">
      <c r="A18" t="s">
        <v>637</v>
      </c>
      <c r="B18">
        <f>COUNTIF(Registre_Risques!B:B,A18)</f>
        <v>32</v>
      </c>
      <c r="C18">
        <f>AVERAGEIF(Registre_Risques!B:B,A18,Registre_Risques!V:V)</f>
        <v>13.6875</v>
      </c>
      <c r="D18">
        <f>AVERAGEIF(Registre_Risques!B:B,A18,Registre_Risques!AD:AD)</f>
        <v>9.90625</v>
      </c>
      <c r="E18">
        <f>COUNTIFS(Registre_Risques!B:B,A18,Registre_Risques!AG:AG,"Hors appétit")</f>
        <v>23</v>
      </c>
    </row>
    <row r="19" spans="1:6" x14ac:dyDescent="0.2">
      <c r="A19" t="s">
        <v>86</v>
      </c>
      <c r="B19">
        <f>COUNTIF(Registre_Risques!B:B,A19)</f>
        <v>20</v>
      </c>
      <c r="C19">
        <f>AVERAGEIF(Registre_Risques!B:B,A19,Registre_Risques!V:V)</f>
        <v>15.85</v>
      </c>
      <c r="D19">
        <f>AVERAGEIF(Registre_Risques!B:B,A19,Registre_Risques!AD:AD)</f>
        <v>12.15</v>
      </c>
      <c r="E19">
        <f>COUNTIFS(Registre_Risques!B:B,A19,Registre_Risques!AG:AG,"Hors appétit")</f>
        <v>17</v>
      </c>
    </row>
    <row r="20" spans="1:6" x14ac:dyDescent="0.2">
      <c r="A20" t="s">
        <v>528</v>
      </c>
      <c r="B20">
        <f>COUNTIF(Registre_Risques!B:B,A20)</f>
        <v>20</v>
      </c>
      <c r="C20">
        <f>AVERAGEIF(Registre_Risques!B:B,A20,Registre_Risques!V:V)</f>
        <v>15.1</v>
      </c>
      <c r="D20">
        <f>AVERAGEIF(Registre_Risques!B:B,A20,Registre_Risques!AD:AD)</f>
        <v>11.3</v>
      </c>
      <c r="E20">
        <f>COUNTIFS(Registre_Risques!B:B,A20,Registre_Risques!AG:AG,"Hors appétit")</f>
        <v>16</v>
      </c>
    </row>
    <row r="21" spans="1:6" x14ac:dyDescent="0.2">
      <c r="A21" t="s">
        <v>808</v>
      </c>
      <c r="B21">
        <f>COUNTIF(Registre_Risques!B:B,A21)</f>
        <v>24</v>
      </c>
      <c r="C21">
        <f>AVERAGEIF(Registre_Risques!B:B,A21,Registre_Risques!V:V)</f>
        <v>14.375</v>
      </c>
      <c r="D21">
        <f>AVERAGEIF(Registre_Risques!B:B,A21,Registre_Risques!AD:AD)</f>
        <v>10.375</v>
      </c>
      <c r="E21">
        <f>COUNTIFS(Registre_Risques!B:B,A21,Registre_Risques!AG:AG,"Hors appétit")</f>
        <v>18</v>
      </c>
    </row>
    <row r="22" spans="1:6" x14ac:dyDescent="0.2">
      <c r="A22" t="s">
        <v>268</v>
      </c>
      <c r="B22">
        <f>COUNTIF(Registre_Risques!B:B,A22)</f>
        <v>24</v>
      </c>
      <c r="C22">
        <f>AVERAGEIF(Registre_Risques!B:B,A22,Registre_Risques!V:V)</f>
        <v>13.583333333333334</v>
      </c>
      <c r="D22">
        <f>AVERAGEIF(Registre_Risques!B:B,A22,Registre_Risques!AD:AD)</f>
        <v>9.9583333333333339</v>
      </c>
      <c r="E22">
        <f>COUNTIFS(Registre_Risques!B:B,A22,Registre_Risques!AG:AG,"Hors appétit")</f>
        <v>17</v>
      </c>
    </row>
    <row r="25" spans="1:6" x14ac:dyDescent="0.2">
      <c r="A25" s="1" t="s">
        <v>951</v>
      </c>
    </row>
    <row r="26" spans="1:6" ht="16" x14ac:dyDescent="0.2">
      <c r="A26" s="3" t="s">
        <v>87</v>
      </c>
      <c r="B26" s="3" t="s">
        <v>948</v>
      </c>
      <c r="C26" s="3" t="s">
        <v>952</v>
      </c>
      <c r="D26" s="3" t="s">
        <v>953</v>
      </c>
      <c r="E26" s="3"/>
      <c r="F26" s="3"/>
    </row>
    <row r="27" spans="1:6" x14ac:dyDescent="0.2">
      <c r="A27" t="s">
        <v>873</v>
      </c>
      <c r="B27">
        <f>COUNTIF(Registre_Risques!C:C,A27)</f>
        <v>12</v>
      </c>
      <c r="C27">
        <f>COUNTIFS(Registre_Risques!C:C,A27,Registre_Risques!AE:AE,"Critique")</f>
        <v>3</v>
      </c>
      <c r="D27">
        <f>SUMIF(Registre_Risques!C:C,A27,Registre_Risques!AP:AP)</f>
        <v>7195000</v>
      </c>
    </row>
    <row r="28" spans="1:6" x14ac:dyDescent="0.2">
      <c r="A28" t="s">
        <v>747</v>
      </c>
      <c r="B28">
        <f>COUNTIF(Registre_Risques!C:C,A28)</f>
        <v>12</v>
      </c>
      <c r="C28">
        <f>COUNTIFS(Registre_Risques!C:C,A28,Registre_Risques!AE:AE,"Critique")</f>
        <v>4</v>
      </c>
      <c r="D28">
        <f>SUMIF(Registre_Risques!C:C,A28,Registre_Risques!AP:AP)</f>
        <v>7005000</v>
      </c>
    </row>
    <row r="29" spans="1:6" x14ac:dyDescent="0.2">
      <c r="A29" t="s">
        <v>592</v>
      </c>
      <c r="B29">
        <f>COUNTIF(Registre_Risques!C:C,A29)</f>
        <v>8</v>
      </c>
      <c r="C29">
        <f>COUNTIFS(Registre_Risques!C:C,A29,Registre_Risques!AE:AE,"Critique")</f>
        <v>0</v>
      </c>
      <c r="D29">
        <f>SUMIF(Registre_Risques!C:C,A29,Registre_Risques!AP:AP)</f>
        <v>3694000</v>
      </c>
    </row>
    <row r="30" spans="1:6" x14ac:dyDescent="0.2">
      <c r="A30" t="s">
        <v>638</v>
      </c>
      <c r="B30">
        <f>COUNTIF(Registre_Risques!C:C,A30)</f>
        <v>12</v>
      </c>
      <c r="C30">
        <f>COUNTIFS(Registre_Risques!C:C,A30,Registre_Risques!AE:AE,"Critique")</f>
        <v>1</v>
      </c>
      <c r="D30">
        <f>SUMIF(Registre_Risques!C:C,A30,Registre_Risques!AP:AP)</f>
        <v>5794000</v>
      </c>
    </row>
    <row r="31" spans="1:6" x14ac:dyDescent="0.2">
      <c r="A31" t="s">
        <v>809</v>
      </c>
      <c r="B31">
        <f>COUNTIF(Registre_Risques!C:C,A31)</f>
        <v>12</v>
      </c>
      <c r="C31">
        <f>COUNTIFS(Registre_Risques!C:C,A31,Registre_Risques!AE:AE,"Critique")</f>
        <v>4</v>
      </c>
      <c r="D31">
        <f>SUMIF(Registre_Risques!C:C,A31,Registre_Risques!AP:AP)</f>
        <v>6781000</v>
      </c>
    </row>
    <row r="32" spans="1:6" x14ac:dyDescent="0.2">
      <c r="A32" t="s">
        <v>89</v>
      </c>
      <c r="B32">
        <f>COUNTIF(Registre_Risques!C:C,A32)</f>
        <v>12</v>
      </c>
      <c r="C32">
        <f>COUNTIFS(Registre_Risques!C:C,A32,Registre_Risques!AE:AE,"Critique")</f>
        <v>7</v>
      </c>
      <c r="D32">
        <f>SUMIF(Registre_Risques!C:C,A32,Registre_Risques!AP:AP)</f>
        <v>6479000</v>
      </c>
    </row>
    <row r="33" spans="1:4" x14ac:dyDescent="0.2">
      <c r="A33" t="s">
        <v>484</v>
      </c>
      <c r="B33">
        <f>COUNTIF(Registre_Risques!C:C,A33)</f>
        <v>8</v>
      </c>
      <c r="C33">
        <f>COUNTIFS(Registre_Risques!C:C,A33,Registre_Risques!AE:AE,"Critique")</f>
        <v>0</v>
      </c>
      <c r="D33">
        <f>SUMIF(Registre_Risques!C:C,A33,Registre_Risques!AP:AP)</f>
        <v>3432000</v>
      </c>
    </row>
    <row r="34" spans="1:4" x14ac:dyDescent="0.2">
      <c r="A34" t="s">
        <v>701</v>
      </c>
      <c r="B34">
        <f>COUNTIF(Registre_Risques!C:C,A34)</f>
        <v>8</v>
      </c>
      <c r="C34">
        <f>COUNTIFS(Registre_Risques!C:C,A34,Registre_Risques!AE:AE,"Critique")</f>
        <v>0</v>
      </c>
      <c r="D34">
        <f>SUMIF(Registre_Risques!C:C,A34,Registre_Risques!AP:AP)</f>
        <v>3845000</v>
      </c>
    </row>
    <row r="35" spans="1:4" x14ac:dyDescent="0.2">
      <c r="A35" t="s">
        <v>362</v>
      </c>
      <c r="B35">
        <f>COUNTIF(Registre_Risques!C:C,A35)</f>
        <v>12</v>
      </c>
      <c r="C35">
        <f>COUNTIFS(Registre_Risques!C:C,A35,Registre_Risques!AE:AE,"Critique")</f>
        <v>2</v>
      </c>
      <c r="D35">
        <f>SUMIF(Registre_Risques!C:C,A35,Registre_Risques!AP:AP)</f>
        <v>4745000</v>
      </c>
    </row>
    <row r="36" spans="1:4" x14ac:dyDescent="0.2">
      <c r="A36" t="s">
        <v>269</v>
      </c>
      <c r="B36">
        <f>COUNTIF(Registre_Risques!C:C,A36)</f>
        <v>12</v>
      </c>
      <c r="C36">
        <f>COUNTIFS(Registre_Risques!C:C,A36,Registre_Risques!AE:AE,"Critique")</f>
        <v>3</v>
      </c>
      <c r="D36">
        <f>SUMIF(Registre_Risques!C:C,A36,Registre_Risques!AP:AP)</f>
        <v>4881000</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6</vt:i4>
      </vt:variant>
    </vt:vector>
  </HeadingPairs>
  <TitlesOfParts>
    <vt:vector size="6" baseType="lpstr">
      <vt:lpstr>README</vt:lpstr>
      <vt:lpstr>Methodologie</vt:lpstr>
      <vt:lpstr>Dictionnaire</vt:lpstr>
      <vt:lpstr>Sources</vt:lpstr>
      <vt:lpstr>Registre_Risques</vt:lpstr>
      <vt:lpstr>Synthese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Cyril Vegni</cp:lastModifiedBy>
  <dcterms:created xsi:type="dcterms:W3CDTF">2026-03-16T13:27:45Z</dcterms:created>
  <dcterms:modified xsi:type="dcterms:W3CDTF">2026-03-17T06:28:53Z</dcterms:modified>
</cp:coreProperties>
</file>